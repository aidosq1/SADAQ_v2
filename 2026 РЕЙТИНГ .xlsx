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" sheetId="1" r:id="rId4"/>
    <sheet state="visible" name="RW" sheetId="2" r:id="rId5"/>
    <sheet state="visible" name="RU29M" sheetId="3" r:id="rId6"/>
    <sheet state="visible" name="RU29W" sheetId="4" r:id="rId7"/>
    <sheet state="visible" name="RU21M" sheetId="5" r:id="rId8"/>
    <sheet state="visible" name="RU21W" sheetId="6" r:id="rId9"/>
    <sheet state="visible" name="RU18M" sheetId="7" r:id="rId10"/>
    <sheet state="visible" name="RU18W" sheetId="8" r:id="rId11"/>
    <sheet state="visible" name="RU14M" sheetId="9" r:id="rId12"/>
    <sheet state="visible" name="RU14W" sheetId="10" r:id="rId13"/>
    <sheet state="visible" name="CM" sheetId="11" r:id="rId14"/>
    <sheet state="visible" name="CW" sheetId="12" r:id="rId15"/>
    <sheet state="visible" name="CU29M" sheetId="13" r:id="rId16"/>
    <sheet state="visible" name="CU29W" sheetId="14" r:id="rId17"/>
    <sheet state="visible" name="CU21M" sheetId="15" r:id="rId18"/>
    <sheet state="visible" name="CU21W" sheetId="16" r:id="rId19"/>
    <sheet state="visible" name="CU18M" sheetId="17" r:id="rId20"/>
    <sheet state="visible" name="CU18W" sheetId="18" r:id="rId21"/>
  </sheets>
  <definedNames>
    <definedName hidden="1" localSheetId="4" name="_xlnm._FilterDatabase">RU21M!$A$4:$N$48</definedName>
    <definedName hidden="1" localSheetId="5" name="_xlnm._FilterDatabase">RU21W!$A$4:$N$47</definedName>
    <definedName hidden="1" localSheetId="6" name="_xlnm._FilterDatabase">RU18M!$A$4:$M$52</definedName>
    <definedName hidden="1" localSheetId="7" name="_xlnm._FilterDatabase">RU18W!$A$4:$M$56</definedName>
    <definedName hidden="1" localSheetId="8" name="_xlnm._FilterDatabase">RU14M!$A$4:$M$62</definedName>
    <definedName hidden="1" localSheetId="9" name="_xlnm._FilterDatabase">RU14W!$A$4:$M$63</definedName>
    <definedName hidden="1" localSheetId="14" name="_xlnm._FilterDatabase">CU21M!$A$4:$N$51</definedName>
    <definedName hidden="1" localSheetId="15" name="_xlnm._FilterDatabase">CU21W!$A$4:$M$62</definedName>
    <definedName hidden="1" localSheetId="16" name="_xlnm._FilterDatabase">CU18M!$A$4:$M$55</definedName>
    <definedName hidden="1" localSheetId="17" name="_xlnm._FilterDatabase">CU18W!$A$4:$M$55</definedName>
  </definedNames>
  <calcPr/>
</workbook>
</file>

<file path=xl/sharedStrings.xml><?xml version="1.0" encoding="utf-8"?>
<sst xmlns="http://schemas.openxmlformats.org/spreadsheetml/2006/main" count="1656" uniqueCount="438">
  <si>
    <t>ҚРК 1-кезеңі</t>
  </si>
  <si>
    <t>ҚРК 2-кезеңі</t>
  </si>
  <si>
    <t>ҚРЧ</t>
  </si>
  <si>
    <t>ҚРК 3-кезеңі</t>
  </si>
  <si>
    <t>№</t>
  </si>
  <si>
    <t>Т.А.</t>
  </si>
  <si>
    <t>Облыс/қала</t>
  </si>
  <si>
    <t>Орындар/Место</t>
  </si>
  <si>
    <t>QW</t>
  </si>
  <si>
    <t>OА</t>
  </si>
  <si>
    <t>ұпай</t>
  </si>
  <si>
    <t xml:space="preserve">QW </t>
  </si>
  <si>
    <t>ОА (ОК)</t>
  </si>
  <si>
    <t>Жалпы ұпай (Общии балл)</t>
  </si>
  <si>
    <t>АБДДУЛИН Ильфат</t>
  </si>
  <si>
    <t>ЖЕТІСУ ОБЛ</t>
  </si>
  <si>
    <t>2 орын/2 орын</t>
  </si>
  <si>
    <t>БЕРЧА Иван</t>
  </si>
  <si>
    <t>ШЫМКЕНТ</t>
  </si>
  <si>
    <t>1 орын/1 орын</t>
  </si>
  <si>
    <t>ЖАҢБЫРБАЙ Дәулеткелді</t>
  </si>
  <si>
    <t>1 орын</t>
  </si>
  <si>
    <t>ЕРЕМЕНКО Александр</t>
  </si>
  <si>
    <t>2 орын/3 орын</t>
  </si>
  <si>
    <t>ЕРЖАНУЛЫ Санжар</t>
  </si>
  <si>
    <t>2 орын/3 орын /2 орын</t>
  </si>
  <si>
    <t>КАРИМОВ Дастан</t>
  </si>
  <si>
    <t>1 орын/3 орын</t>
  </si>
  <si>
    <t>МАГЖАНОВ Владислав</t>
  </si>
  <si>
    <t>2 орын/1 орын</t>
  </si>
  <si>
    <t>АЛИМБАЕВ Мансур</t>
  </si>
  <si>
    <t>МУСТАФИН Алихан</t>
  </si>
  <si>
    <t>БҚО</t>
  </si>
  <si>
    <t>ГАНЬКИН Денис</t>
  </si>
  <si>
    <t>2 орын</t>
  </si>
  <si>
    <t>АҚЫМЖАН Әлішер</t>
  </si>
  <si>
    <t>АКМОЛ.ОБЛ</t>
  </si>
  <si>
    <t>МУСАЕВ Санжар</t>
  </si>
  <si>
    <t>СМАҒҰЛ Бақтұр</t>
  </si>
  <si>
    <t>АЛМАТЫ</t>
  </si>
  <si>
    <t>3 орын</t>
  </si>
  <si>
    <t>ЦАЙ Кирилл</t>
  </si>
  <si>
    <t>КАРАГАНДА</t>
  </si>
  <si>
    <t>ОРАЗБЕКОВ Құралбек</t>
  </si>
  <si>
    <t>ТҮРК.ОБЛ</t>
  </si>
  <si>
    <t>ГУЛЬМАТОВ Фуркат</t>
  </si>
  <si>
    <t>АХМЕТ Нұрдәулет</t>
  </si>
  <si>
    <t>САЙФУЛЛА Хуршид</t>
  </si>
  <si>
    <t>ТУРК.ОБЛ</t>
  </si>
  <si>
    <t>КУАНЫШКАЛИЕВ Манас</t>
  </si>
  <si>
    <t>БАЛАКЕРІМОВ Бағжан</t>
  </si>
  <si>
    <t>АЛМАТЫ ОБЛ</t>
  </si>
  <si>
    <t>НҰҒМАН Сағадат</t>
  </si>
  <si>
    <t>АУСВАКС Румин</t>
  </si>
  <si>
    <t>РЕДЖЕМЕТОВ Анвар</t>
  </si>
  <si>
    <t>Түркістан обл</t>
  </si>
  <si>
    <t>АСИЛХАН Диас</t>
  </si>
  <si>
    <t>МУКАНОВ Самат</t>
  </si>
  <si>
    <t>АМАНГЕЛДІҰЛЫ Берекет</t>
  </si>
  <si>
    <t>БЕГАЙДАР Мухаммад</t>
  </si>
  <si>
    <t>Алматы</t>
  </si>
  <si>
    <t>МАХМЕД Сұңғат</t>
  </si>
  <si>
    <t>ДУЗЕЛБАЕВ Сұлтан</t>
  </si>
  <si>
    <t>Алматы обл</t>
  </si>
  <si>
    <t>УБАДУЛЛАЕВ Ахмед</t>
  </si>
  <si>
    <t>САМЕН Мансур</t>
  </si>
  <si>
    <t>МУХТИЯРОВ Вячеслав</t>
  </si>
  <si>
    <t>АСТАНА</t>
  </si>
  <si>
    <t>ТУРАБЕК Диасбек</t>
  </si>
  <si>
    <t>ИБРАИМ Батырхан</t>
  </si>
  <si>
    <t>СЕРІК Расұл</t>
  </si>
  <si>
    <t>КАЛАШНИКОВ Артем</t>
  </si>
  <si>
    <t>Астана</t>
  </si>
  <si>
    <t>ЖУМАБЕК Алишер</t>
  </si>
  <si>
    <t>АСКЕРОВ Руслан</t>
  </si>
  <si>
    <t>РОДИОНОВ Леонид</t>
  </si>
  <si>
    <t>БАҚЫТ Рүстем</t>
  </si>
  <si>
    <t>ҚҰЛЖАБАЙ Ален</t>
  </si>
  <si>
    <t>СМАГИН Руслан</t>
  </si>
  <si>
    <t>Павлодар обл</t>
  </si>
  <si>
    <t>ТҰРЫСБЕК Азанбек</t>
  </si>
  <si>
    <t>РЫСБЕК Маулен</t>
  </si>
  <si>
    <t>САНСЫЗБАЙ Мүсілім</t>
  </si>
  <si>
    <t>ЗЕМЛЯНОВА Александра</t>
  </si>
  <si>
    <t>ЗАЕМОВА Мадина</t>
  </si>
  <si>
    <t>ТУРСУНБЕК Диана</t>
  </si>
  <si>
    <t>3 орын/3 орын</t>
  </si>
  <si>
    <t>ЖУМАГУЛОВА Самира</t>
  </si>
  <si>
    <t>АВДЕЕВА Елизавета</t>
  </si>
  <si>
    <t>УСЕН Аяла</t>
  </si>
  <si>
    <t>ГАЛИАХМЕТ Ясмин</t>
  </si>
  <si>
    <t>МҰХТАРХАНОВА Алуа</t>
  </si>
  <si>
    <t>БЕЛОСЛЮДЦЕВА Виктория</t>
  </si>
  <si>
    <t>ТИМРАЛИЕВА Алина</t>
  </si>
  <si>
    <t>СЕРИК Адия</t>
  </si>
  <si>
    <t>ИГИБАЕВА Гаухар</t>
  </si>
  <si>
    <t>ВОРОПАЕВА Александра</t>
  </si>
  <si>
    <t>МУРАТ Медина</t>
  </si>
  <si>
    <t>КИЛИБАЕВА Алма</t>
  </si>
  <si>
    <t>РАХИМЖАНОВА Нурила</t>
  </si>
  <si>
    <t>Шымкент</t>
  </si>
  <si>
    <t>ПОЛЕШКО Шакира</t>
  </si>
  <si>
    <t>АСАНБАЕВА Шахзода</t>
  </si>
  <si>
    <t>ГАЗИЗОВА Евангелина</t>
  </si>
  <si>
    <t>ПЕРКИНА Александра</t>
  </si>
  <si>
    <t>ӘДІЛЕТ Алуа</t>
  </si>
  <si>
    <t>САТТАР Марьям</t>
  </si>
  <si>
    <t>ИРИСКУЛОВА Малика</t>
  </si>
  <si>
    <t>ВЛАСОВА Ангелина</t>
  </si>
  <si>
    <t>КАР</t>
  </si>
  <si>
    <t>ЖАҚЫП Мерей</t>
  </si>
  <si>
    <t>КУНАКБАЕВА Алина</t>
  </si>
  <si>
    <t>МАЛАХОВА Анастасия</t>
  </si>
  <si>
    <t>БАРАНШИНОВА Томирис</t>
  </si>
  <si>
    <t>ТАСҚАЛИ Әсия</t>
  </si>
  <si>
    <t>АСХАТОВА Айлана</t>
  </si>
  <si>
    <t>МҰСТАФА Зайтуна</t>
  </si>
  <si>
    <t>АЙДЫНҒАЛИ Алия</t>
  </si>
  <si>
    <t>БАННОВА Анастасия</t>
  </si>
  <si>
    <t>МАЛЬЦЕВА Екатерина</t>
  </si>
  <si>
    <t>БУХРЕНКОВА Милана</t>
  </si>
  <si>
    <t>ЗАЙКО Полина</t>
  </si>
  <si>
    <t>БАТЫРОВА Дана</t>
  </si>
  <si>
    <t>КАБДРАХМАНОВ Алемхан</t>
  </si>
  <si>
    <t>БОЛАТ Абылай</t>
  </si>
  <si>
    <t>ТҰЯҚ Алихан</t>
  </si>
  <si>
    <t>МАЙКИБАЕВ Райымбек</t>
  </si>
  <si>
    <t>КУРБАНОВ Шахрияр</t>
  </si>
  <si>
    <t>ҚАМАР Рахымжан</t>
  </si>
  <si>
    <t>ЕРЛАНУЛЫ Дінмухамед</t>
  </si>
  <si>
    <t>ЗИНАБДИН Батырхан</t>
  </si>
  <si>
    <t>САБИТОВ Давлет</t>
  </si>
  <si>
    <t>ӘДІЛХАНҰЛЫ Сұлтан</t>
  </si>
  <si>
    <t>ТАНИРБЕРГЕНОВ Ақжол</t>
  </si>
  <si>
    <t>КРИКУНОВ Иван</t>
  </si>
  <si>
    <t>УБАЙДУЛЛАЕВ Ахмед</t>
  </si>
  <si>
    <t>СИНИЦЫН Иван</t>
  </si>
  <si>
    <t>ОРЛОВ Дмитрий</t>
  </si>
  <si>
    <t>НҰРЛАНҰЛЫ Нұрбақыт</t>
  </si>
  <si>
    <t>БАЛМАГАМБЕТ Айтекеби</t>
  </si>
  <si>
    <t>ВЕЛИКАНОВ Вадим</t>
  </si>
  <si>
    <t>САГУТДИНОВ Самат</t>
  </si>
  <si>
    <t>ҚЫДЫРӘЛІ Бақытжан</t>
  </si>
  <si>
    <t>КУДАЙБЕРГЕНОВ Арлан</t>
  </si>
  <si>
    <t>САҒЫНДЫҚ Әмір</t>
  </si>
  <si>
    <t>ҚАЛИ Ерталап</t>
  </si>
  <si>
    <t>АБЛАХАТ Ерасыл</t>
  </si>
  <si>
    <t>СЕЙЛБЕК Рахат</t>
  </si>
  <si>
    <t>БЕРІКҚАНҰЛЫ Алихан</t>
  </si>
  <si>
    <t>ЖОЛДЫБЕК Ақкенже</t>
  </si>
  <si>
    <t>МАХМЕТ Сұнғат</t>
  </si>
  <si>
    <t>МОЛДАХМЕТ Нұрсұлтан</t>
  </si>
  <si>
    <t>ЕРЕСКЕНОВ Қайсар</t>
  </si>
  <si>
    <t>БЕЛОКУРОВ Глеб</t>
  </si>
  <si>
    <t>УБАЙДУЛЛАЕВ Жүсіп</t>
  </si>
  <si>
    <t>МАДЬЯРОВ Альтаир</t>
  </si>
  <si>
    <t>ЖАКИПОВ Мейірбек</t>
  </si>
  <si>
    <t>ЫНТЫҚБАЙ Асқар</t>
  </si>
  <si>
    <t>ЖАҚСЫЛЫҚБЕК Саламат</t>
  </si>
  <si>
    <t>САМЕК Наурызбек</t>
  </si>
  <si>
    <t>АТР</t>
  </si>
  <si>
    <t>СЫРЫМ Султан</t>
  </si>
  <si>
    <t>ДАВЛАТБЕКОВ Диербек</t>
  </si>
  <si>
    <t>ХАЙРУШЕВ Асет</t>
  </si>
  <si>
    <t>ТҰРЫСБЕК Асылбек</t>
  </si>
  <si>
    <t>БУЛЮКБАЕВ Алдияр</t>
  </si>
  <si>
    <t>КОРОЛЕВСКИЙ Илан</t>
  </si>
  <si>
    <t>КИРИЧЕНКО Станислав</t>
  </si>
  <si>
    <t>ПАВЛОДАР</t>
  </si>
  <si>
    <t>Түркістан</t>
  </si>
  <si>
    <t>ТЕНИЗОВ Диас</t>
  </si>
  <si>
    <t>СОЛОДОВНИКОВА Анастасия</t>
  </si>
  <si>
    <t>МАҚҰЛБЕК Томирис</t>
  </si>
  <si>
    <t>БАЙБАТЧИНА Айлин</t>
  </si>
  <si>
    <t>ЯХИНА Аяжан</t>
  </si>
  <si>
    <t>ӘБДРАШИТ Томирис</t>
  </si>
  <si>
    <t>ҚҰЛТАС Аида</t>
  </si>
  <si>
    <t>ЯХИНА Аружан</t>
  </si>
  <si>
    <t>БАТЫҚ Аяулым</t>
  </si>
  <si>
    <t>ӘЛІБЕК Назеркеш</t>
  </si>
  <si>
    <t>МИРАМОВА Сакдиана</t>
  </si>
  <si>
    <t>АЛМАГАНБЕТ Кәусәр</t>
  </si>
  <si>
    <t>КАЙЫРБЕК Фариза</t>
  </si>
  <si>
    <t>ШАЙШОВА Жанна</t>
  </si>
  <si>
    <t>МАРКОВА Софья</t>
  </si>
  <si>
    <t>КОРОТКОВА Дарья</t>
  </si>
  <si>
    <t>ДЖУБАНОВА Диляра</t>
  </si>
  <si>
    <t>УБОГАЯ Злата</t>
  </si>
  <si>
    <t>ДУСКАЛИЕВА Камилла</t>
  </si>
  <si>
    <t>БОГДАНОВА Вероника</t>
  </si>
  <si>
    <t>ҚОЖАБЕК Айзере</t>
  </si>
  <si>
    <t>МУХАМЕДОВА Инабат</t>
  </si>
  <si>
    <t>МҰСАБЕК Дәмелі</t>
  </si>
  <si>
    <t>ЩЕГОЛЬСКАЯ Таисия</t>
  </si>
  <si>
    <t>КАДЕЕВА Мерей</t>
  </si>
  <si>
    <t>САНСЫЗБАЙ Гаухар</t>
  </si>
  <si>
    <t>КАЛБАЕВА Арина</t>
  </si>
  <si>
    <t>КИНЕБАЕВА Сабина</t>
  </si>
  <si>
    <t>АЗИМБАЕВА Ясмин</t>
  </si>
  <si>
    <t>CӘНДІБЕК Аружан</t>
  </si>
  <si>
    <t>САВЬЯНЕНКО Ника</t>
  </si>
  <si>
    <t>ХАСАНОВА Земфира</t>
  </si>
  <si>
    <t>ЖЕТ</t>
  </si>
  <si>
    <t>ДАЛИ Жібек</t>
  </si>
  <si>
    <t>ХОН Диана</t>
  </si>
  <si>
    <t>ФЕТИСОВА Диана</t>
  </si>
  <si>
    <t>ЗАЕЦ Элина</t>
  </si>
  <si>
    <t>ДАМЕР Марта</t>
  </si>
  <si>
    <t>Қарағанды</t>
  </si>
  <si>
    <t>ГОЛЬМАН Виктория</t>
  </si>
  <si>
    <t>СПИРИНА Василиса</t>
  </si>
  <si>
    <t>СУМИНА Милена</t>
  </si>
  <si>
    <t>КЛЕПИКОВА Владлена</t>
  </si>
  <si>
    <t>ПАВ</t>
  </si>
  <si>
    <t>ЭРКИНОВА Райхона</t>
  </si>
  <si>
    <t>АБДУВАЛИЕВА Самина</t>
  </si>
  <si>
    <t>ГАЛИМОВА Люция</t>
  </si>
  <si>
    <t>м</t>
  </si>
  <si>
    <t>VI Жастар Ойыны</t>
  </si>
  <si>
    <t>Орындар</t>
  </si>
  <si>
    <t>АҚМ</t>
  </si>
  <si>
    <t>АЛО</t>
  </si>
  <si>
    <t>ШЫМ</t>
  </si>
  <si>
    <t>ҚАР</t>
  </si>
  <si>
    <t>ТҮР</t>
  </si>
  <si>
    <t>АСТ</t>
  </si>
  <si>
    <t>АЛМ</t>
  </si>
  <si>
    <t>АХМЕТ Әлхам</t>
  </si>
  <si>
    <t xml:space="preserve"> </t>
  </si>
  <si>
    <t>АЛМАГАМБЕТ Кәусәр</t>
  </si>
  <si>
    <t>ҚРЧ маусым Астана</t>
  </si>
  <si>
    <t>ДАВЛЕТБЕКОВ Диёрбек</t>
  </si>
  <si>
    <t>ИДРИСОВ Ильдар</t>
  </si>
  <si>
    <t>3 орын/1 орын</t>
  </si>
  <si>
    <t>СӘНДІБЕК Аружан</t>
  </si>
  <si>
    <t>АБИЛХАСИМ Зейне</t>
  </si>
  <si>
    <t>ЖАЛҒАС Динара</t>
  </si>
  <si>
    <t>САПАРГАЛИЕВА Азалия</t>
  </si>
  <si>
    <t>АСКАТОВА Медина</t>
  </si>
  <si>
    <t>ЕЛТАЙ Бейбарыс</t>
  </si>
  <si>
    <t>МУРТАЗОВ Амир</t>
  </si>
  <si>
    <t>БИСЕН Ананда</t>
  </si>
  <si>
    <t>ЕРИН Савелий</t>
  </si>
  <si>
    <t>НЕНАШЕВ Даниил</t>
  </si>
  <si>
    <t>СВЕРЧКОВ Виктор</t>
  </si>
  <si>
    <t>ПАШКОВ Богдан</t>
  </si>
  <si>
    <t>ДАУЛЕТ Арман</t>
  </si>
  <si>
    <t>АЛИЕВ Комулжан</t>
  </si>
  <si>
    <t>НАРМЕТОВ Джахангир</t>
  </si>
  <si>
    <t>32 орын</t>
  </si>
  <si>
    <t>ТАЛҒАТ Темірлан</t>
  </si>
  <si>
    <t>ШАПОВАЛОВ Тимофей</t>
  </si>
  <si>
    <t>ІЗБАСХАНОВ Сұлтан</t>
  </si>
  <si>
    <t>СЕРІК Алишер</t>
  </si>
  <si>
    <t>ДУБСКИЙ Вадим</t>
  </si>
  <si>
    <t>ЖАСБАСОВ Альтаир</t>
  </si>
  <si>
    <t>ЖАНАРБЕК Асанали</t>
  </si>
  <si>
    <t>ТӘУІРЖАН Әлімжан</t>
  </si>
  <si>
    <t>ИСТАЕВ Алдияр</t>
  </si>
  <si>
    <t>СВЕРЧКОВ Иван</t>
  </si>
  <si>
    <t>ЖАЛЕЛОВА Анеля</t>
  </si>
  <si>
    <t>САДИРОВА Зара</t>
  </si>
  <si>
    <t>ОМИРЗАКОВА Дана</t>
  </si>
  <si>
    <t>БОЛАТБАЙ Айзере</t>
  </si>
  <si>
    <t>КАМБАРОВА Элёра</t>
  </si>
  <si>
    <t>КАПАШЕВА Хаджар</t>
  </si>
  <si>
    <t>САТЫБАЛДИЕВА Сабрина</t>
  </si>
  <si>
    <t>УВАИСОВА Ақбота</t>
  </si>
  <si>
    <t>УКРАИНСКАЯ Раяна</t>
  </si>
  <si>
    <t>ЕРИНА Василиса</t>
  </si>
  <si>
    <t>ҚОСПАН Ұлдана</t>
  </si>
  <si>
    <t>НҰРЛАНҚЫЗЫ Амина</t>
  </si>
  <si>
    <t>ШАМЧИЕВА Бувайша</t>
  </si>
  <si>
    <t>НҮСІПБЕК Аяла</t>
  </si>
  <si>
    <t>БУРЛЕВА Есения</t>
  </si>
  <si>
    <t>ЗАРҚЫМ Нарал</t>
  </si>
  <si>
    <t>МОИСЕЕВА София</t>
  </si>
  <si>
    <t>НҰҒМАНҚЫЗЫ Ұмай</t>
  </si>
  <si>
    <t>ЧЕПУРИНА Элина</t>
  </si>
  <si>
    <t>РАХИМОВА Ариана</t>
  </si>
  <si>
    <t>ГАЗИЗОВА Альбина</t>
  </si>
  <si>
    <t>САМЕНОВА Аида</t>
  </si>
  <si>
    <t>РАССАХАНЬ Виктория</t>
  </si>
  <si>
    <t>ТКАЧЕНКО Апполинария</t>
  </si>
  <si>
    <t>БЕКБОСЫНОВА Диана</t>
  </si>
  <si>
    <t>КОНОВАЛОВА Ангелина</t>
  </si>
  <si>
    <t>НҰРЛАН Амина</t>
  </si>
  <si>
    <t>МҰСА Ділмұхамет</t>
  </si>
  <si>
    <t>АЛМАТЫ обл</t>
  </si>
  <si>
    <t>КАРАБАЕВ Акбарали</t>
  </si>
  <si>
    <t>1 орын/1 орын /3 орын</t>
  </si>
  <si>
    <t>ТЮТЮН Андрей</t>
  </si>
  <si>
    <t>МИРЗАМЕТОВ Бунед</t>
  </si>
  <si>
    <t>ХРИСТИЧ Сергей</t>
  </si>
  <si>
    <t>ГАНЬКИН Артем</t>
  </si>
  <si>
    <t>ТЮЛЬПИН Александр</t>
  </si>
  <si>
    <t>1 орын/2 орын</t>
  </si>
  <si>
    <t>САГУТДИНОВ Шамиль</t>
  </si>
  <si>
    <t>ТКАЧЕНКО Илья</t>
  </si>
  <si>
    <t>МИРСУЛТАНОВ Розмат</t>
  </si>
  <si>
    <t>КИМ Дмитрий</t>
  </si>
  <si>
    <t>ДЖУБАЕВ Жантемис</t>
  </si>
  <si>
    <t>ВЕБЕР Рудольф</t>
  </si>
  <si>
    <t>САНСЫЗБАЙ Сабыржан</t>
  </si>
  <si>
    <t>ЮЛДАШЕВ Полат</t>
  </si>
  <si>
    <t>ГУЗЕЙ Вячеслав</t>
  </si>
  <si>
    <t>СЕЙДАНОВ Рустем</t>
  </si>
  <si>
    <t>САЙДИЕВ Тимур</t>
  </si>
  <si>
    <t>ЖУСУПОВ Райымбек</t>
  </si>
  <si>
    <t>БЕКЖАН Әлішер</t>
  </si>
  <si>
    <t>Павлодар</t>
  </si>
  <si>
    <t>ЖАННАТ Армат</t>
  </si>
  <si>
    <t>САЙФУЛЛАЕВ Жамшид</t>
  </si>
  <si>
    <t>ЖУМАЕВ Данияр</t>
  </si>
  <si>
    <t>МЕДВЕДЕВ Александр</t>
  </si>
  <si>
    <t>ИЛЬЯШЕНКО Григорий</t>
  </si>
  <si>
    <t>СОЛОДОВНИКОВ Константин</t>
  </si>
  <si>
    <t>САФИН Эльдар</t>
  </si>
  <si>
    <t>ЖАХАН Рамазан</t>
  </si>
  <si>
    <t>МУРАТОВ Алимурат</t>
  </si>
  <si>
    <t>Жетісу</t>
  </si>
  <si>
    <t>ЖОЛДЫБЕК Жанболат</t>
  </si>
  <si>
    <t>ҚАМЕКЕН Әділет</t>
  </si>
  <si>
    <t>ВОЛОШИН Ярослав</t>
  </si>
  <si>
    <t>ИВЛЕВ Руслан</t>
  </si>
  <si>
    <t>ЛИСИН Аркадий</t>
  </si>
  <si>
    <t>ЖЕКСЕНБИНОВА Адель</t>
  </si>
  <si>
    <t>1 орын/2 орын /1 орын</t>
  </si>
  <si>
    <t>ЛЯН Виктория</t>
  </si>
  <si>
    <t>3 орын/3 орын /3 орын</t>
  </si>
  <si>
    <t>ЮНУСОВА Роксана</t>
  </si>
  <si>
    <t>ЮНУСОВА Диана</t>
  </si>
  <si>
    <t>2 орын/1 орын /2 орын</t>
  </si>
  <si>
    <t>РАИСОВА Эльмира</t>
  </si>
  <si>
    <t>СЕЙДАХМЕТОВА Айжан</t>
  </si>
  <si>
    <t>САЕНКО Алина</t>
  </si>
  <si>
    <t>1 орын/3 орын /1орын</t>
  </si>
  <si>
    <t>БЕКМЕТОВА Мадина</t>
  </si>
  <si>
    <t>ОРАЗХАН Жансая</t>
  </si>
  <si>
    <t>ШМИДТ Анастасия</t>
  </si>
  <si>
    <t>БЕКТАЕВА Лайло</t>
  </si>
  <si>
    <t>НУРЛАНОВА Айлана</t>
  </si>
  <si>
    <t>АСКАРОВА Зарина</t>
  </si>
  <si>
    <t>ТИХОНОВА Татьяна</t>
  </si>
  <si>
    <t>САДВАКАСОВА Карина</t>
  </si>
  <si>
    <t>НОЖЕНКО Елена</t>
  </si>
  <si>
    <t>ШАЙМУХАМЕТОВА Жанна</t>
  </si>
  <si>
    <t>СЕРІК Кәмила</t>
  </si>
  <si>
    <t>ТУРГЫМБАЕВА Медина</t>
  </si>
  <si>
    <t>ШАДЬЯРОВА Жанель</t>
  </si>
  <si>
    <t>ЯКУБХОДЖАЕВА Жасмина</t>
  </si>
  <si>
    <t>МАНАННИКОВА Дарья</t>
  </si>
  <si>
    <t>ЗАХАРОВА Юлия</t>
  </si>
  <si>
    <t>МЫСТИМОВА Нұрай</t>
  </si>
  <si>
    <t>Алматы облысы</t>
  </si>
  <si>
    <t>КАЛИНА Арина</t>
  </si>
  <si>
    <t>АЙТИМОВА Милан</t>
  </si>
  <si>
    <t>ГРИГОРЬЕВА Милана</t>
  </si>
  <si>
    <t>КАРИМОВА Татьяна</t>
  </si>
  <si>
    <t>ЧАЛЫШКАН Айлин</t>
  </si>
  <si>
    <t>КҮДЕРБАЙ Ақбота</t>
  </si>
  <si>
    <t>ƏСЕТ Адемир</t>
  </si>
  <si>
    <t>ПОЛЯКОВ Егор</t>
  </si>
  <si>
    <t>ГАБДУШЕВ Альсаид</t>
  </si>
  <si>
    <t>3 орын/2 орын</t>
  </si>
  <si>
    <t>КАЛЫМКАНОВ Алимжан</t>
  </si>
  <si>
    <t>1 орын/1 орын /1 орын</t>
  </si>
  <si>
    <t>МАЙКИБАЕВ Рахымбек</t>
  </si>
  <si>
    <t>ИВЛЕВ Никита</t>
  </si>
  <si>
    <t>ТУЛЕНДИЕВ Калауын</t>
  </si>
  <si>
    <t>КУЗНЕЦОВ Павел</t>
  </si>
  <si>
    <t>КИМ Кирилл</t>
  </si>
  <si>
    <t>ТУРЫСБЕКОВ Асанали</t>
  </si>
  <si>
    <t>ОКИШЕВ Владимир</t>
  </si>
  <si>
    <t>СМАГИН Александр</t>
  </si>
  <si>
    <t>ҚҰДАЙБЕРГЕН Едіге</t>
  </si>
  <si>
    <t>ТАЖЕН Бектұрған</t>
  </si>
  <si>
    <t>РЫСКУЛБЕК Қуан</t>
  </si>
  <si>
    <t>КАМЕКЕН Адлет</t>
  </si>
  <si>
    <t>МУЗАФАРОВ Олжас</t>
  </si>
  <si>
    <t>САМЕТ Жайық</t>
  </si>
  <si>
    <t>МҰРАТ Дамир</t>
  </si>
  <si>
    <t>КАРИМКУЛ Нұрдәулет</t>
  </si>
  <si>
    <t>НУРАДИЛЬ Мерген</t>
  </si>
  <si>
    <t>НИЯЗ Нұрлыбек</t>
  </si>
  <si>
    <t>СЕРІКҰЛЫ Ислам</t>
  </si>
  <si>
    <t>ГАВРИЛЕНКО Кирилл</t>
  </si>
  <si>
    <t>ЛИ Денис</t>
  </si>
  <si>
    <t>ПАНЧЕНКО Анатолий</t>
  </si>
  <si>
    <t>ҚАЙЫРЖАН Еділ</t>
  </si>
  <si>
    <t>МУХАМЕТЖАН Райымбек</t>
  </si>
  <si>
    <t>БАТЫРХАН Бибарыс</t>
  </si>
  <si>
    <t>ЖАҚАНБЕТ Сұлтан</t>
  </si>
  <si>
    <t>ҚАСЫМ Нұрәли</t>
  </si>
  <si>
    <t>ГАЗИЗОВА Камилла</t>
  </si>
  <si>
    <t>ТАҢЖАРЫҚ Аяулым</t>
  </si>
  <si>
    <t>ТҰРСЫНБЕК Жанайым</t>
  </si>
  <si>
    <t>ГАБДУШЕВА Диана</t>
  </si>
  <si>
    <t>СУВОРОВА Виктория</t>
  </si>
  <si>
    <t>НЕЖИВЫХ Ольга</t>
  </si>
  <si>
    <t>ЕРСЕИТ Ақерке</t>
  </si>
  <si>
    <t>ЕРШОВА Анастасия</t>
  </si>
  <si>
    <t>ПЕРНИБАЕВА Аружан</t>
  </si>
  <si>
    <t>ГРИГОРЬЕВА Арина</t>
  </si>
  <si>
    <t>СЕРИКОВА Аяжан</t>
  </si>
  <si>
    <t>ЖАҚСЫЛЫҚ Аяжан</t>
  </si>
  <si>
    <t>АЗИМБАЙ Аси</t>
  </si>
  <si>
    <t>РЫСБЕК Райгүл</t>
  </si>
  <si>
    <t>ЖОЛАМАНОВА Ансаган</t>
  </si>
  <si>
    <t>МЫСТИМОВА Нурай</t>
  </si>
  <si>
    <t>КАРИПЕНОВА Мадина</t>
  </si>
  <si>
    <t>КОЗНОВА Арина</t>
  </si>
  <si>
    <t>КИРЕЙБАЕВА Меруерт</t>
  </si>
  <si>
    <t>НУКЕНОВА Айзере</t>
  </si>
  <si>
    <t>ӘЛІБЕК Бисана</t>
  </si>
  <si>
    <t>МОЛДАБАЕВА Рамина</t>
  </si>
  <si>
    <t>ЖОРАБЕК Маржан</t>
  </si>
  <si>
    <t>ПАНЧЕНКО Дарья</t>
  </si>
  <si>
    <t>СУЛТАНОВА Илиана</t>
  </si>
  <si>
    <t>НҰРМАҒҰЛ Алтынай</t>
  </si>
  <si>
    <t>АЙТБАЙ Айя</t>
  </si>
  <si>
    <t>ЕДИГЕ Зарема</t>
  </si>
  <si>
    <t>ПЕТРЕНКО Арина</t>
  </si>
  <si>
    <t>САКОВА Камила</t>
  </si>
  <si>
    <t>АМАНТАЙ Сабина</t>
  </si>
  <si>
    <t>КАРИМБЕКОВА Тамина</t>
  </si>
  <si>
    <t>ТАКЕЖАНОВА Айжан</t>
  </si>
  <si>
    <t>АМАНБАЕВА Амина</t>
  </si>
  <si>
    <t>ДУБРОВИН Арсений</t>
  </si>
  <si>
    <t>ТУЛЕНДИЕВ Қалауын</t>
  </si>
  <si>
    <t>ЛИСИН Тимофей</t>
  </si>
  <si>
    <t>БОЛОНИН Николай</t>
  </si>
  <si>
    <t>ШЕФФЕР Артур</t>
  </si>
  <si>
    <t>КАДИРОВ Амирхан</t>
  </si>
  <si>
    <t>КОВШАРЕВ Никита</t>
  </si>
  <si>
    <t>УДОВИК Кира</t>
  </si>
  <si>
    <t>ЮСУПОВА Амина</t>
  </si>
  <si>
    <t>ЙЫЛДЫЗ Элиф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</si>
</sst>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 vertical="bottom"/>
    </xf>
    <xf borderId="1" fillId="0" fontId="1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7" fontId="2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/>
    </xf>
    <xf borderId="1" fillId="0" fontId="6" numFmtId="0" xfId="0" applyAlignment="1" applyBorder="1" applyFont="1">
      <alignment vertical="bottom"/>
    </xf>
    <xf borderId="1" fillId="4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0" fillId="2" fontId="1" numFmtId="0" xfId="0" applyFont="1"/>
    <xf borderId="1" fillId="7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right"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1" numFmtId="0" xfId="0" applyAlignment="1" applyBorder="1" applyFont="1">
      <alignment readingOrder="0"/>
    </xf>
    <xf borderId="1" fillId="8" fontId="2" numFmtId="0" xfId="0" applyAlignment="1" applyBorder="1" applyFont="1">
      <alignment readingOrder="0" vertical="bottom"/>
    </xf>
    <xf borderId="1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3" fillId="6" fontId="3" numFmtId="0" xfId="0" applyAlignment="1" applyBorder="1" applyFont="1">
      <alignment horizontal="center" readingOrder="0" vertical="bottom"/>
    </xf>
    <xf borderId="4" fillId="6" fontId="2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/>
    </xf>
    <xf borderId="1" fillId="6" fontId="6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5" fontId="2" numFmtId="0" xfId="0" applyAlignment="1" applyBorder="1" applyFont="1">
      <alignment readingOrder="0" vertical="bottom"/>
    </xf>
    <xf borderId="1" fillId="2" fontId="6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6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readingOrder="0"/>
    </xf>
    <xf borderId="1" fillId="2" fontId="1" numFmtId="0" xfId="0" applyBorder="1" applyFont="1"/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5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5" fontId="1" numFmtId="0" xfId="0" applyBorder="1" applyFont="1"/>
    <xf borderId="1" fillId="7" fontId="6" numFmtId="0" xfId="0" applyAlignment="1" applyBorder="1" applyFont="1">
      <alignment vertical="bottom"/>
    </xf>
    <xf borderId="1" fillId="2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7" fontId="1" numFmtId="0" xfId="0" applyBorder="1" applyFont="1"/>
    <xf borderId="0" fillId="0" fontId="1" numFmtId="0" xfId="0" applyAlignment="1" applyFont="1">
      <alignment readingOrder="0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readingOrder="0" shrinkToFit="0" wrapText="1"/>
    </xf>
    <xf borderId="0" fillId="4" fontId="2" numFmtId="0" xfId="0" applyAlignment="1" applyFont="1">
      <alignment horizontal="center" readingOrder="0" vertical="bottom"/>
    </xf>
    <xf borderId="2" fillId="4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vertical="center"/>
    </xf>
    <xf borderId="1" fillId="10" fontId="2" numFmtId="0" xfId="0" applyAlignment="1" applyBorder="1" applyFill="1" applyFont="1">
      <alignment readingOrder="0" vertical="bottom"/>
    </xf>
    <xf borderId="4" fillId="11" fontId="2" numFmtId="0" xfId="0" applyAlignment="1" applyBorder="1" applyFill="1" applyFont="1">
      <alignment horizontal="center" vertical="bottom"/>
    </xf>
    <xf borderId="1" fillId="11" fontId="3" numFmtId="0" xfId="0" applyAlignment="1" applyBorder="1" applyFont="1">
      <alignment horizontal="center" readingOrder="0" shrinkToFit="0" vertical="bottom" wrapText="1"/>
    </xf>
    <xf borderId="1" fillId="11" fontId="3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2.63"/>
    <col customWidth="1" min="5" max="5" width="5.25"/>
    <col customWidth="1" min="6" max="6" width="4.13"/>
    <col customWidth="1" min="7" max="7" width="5.38"/>
    <col customWidth="1" min="8" max="8" width="5.25"/>
    <col customWidth="1" min="9" max="9" width="4.63"/>
    <col customWidth="1" min="10" max="13" width="4.13"/>
    <col customWidth="1" min="14" max="14" width="5.25"/>
    <col customWidth="1" min="15" max="15" width="4.25"/>
    <col customWidth="1" min="16" max="16" width="4.75"/>
    <col customWidth="1" min="17" max="17" width="10.63"/>
    <col customWidth="1" min="19" max="19" width="15.88"/>
  </cols>
  <sheetData>
    <row r="1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/>
      <c r="B2" s="3"/>
      <c r="C2" s="3"/>
      <c r="D2" s="3"/>
      <c r="E2" s="4" t="s">
        <v>0</v>
      </c>
      <c r="F2" s="5"/>
      <c r="G2" s="6"/>
      <c r="H2" s="7" t="s">
        <v>1</v>
      </c>
      <c r="I2" s="5"/>
      <c r="J2" s="6"/>
      <c r="K2" s="8" t="s">
        <v>2</v>
      </c>
      <c r="L2" s="5"/>
      <c r="M2" s="6"/>
      <c r="N2" s="9" t="s">
        <v>3</v>
      </c>
      <c r="O2" s="5"/>
      <c r="P2" s="6"/>
      <c r="Q2" s="10"/>
      <c r="R2" s="3"/>
      <c r="S2" s="11"/>
    </row>
    <row r="3">
      <c r="A3" s="12" t="s">
        <v>4</v>
      </c>
      <c r="B3" s="12" t="s">
        <v>5</v>
      </c>
      <c r="C3" s="12" t="s">
        <v>6</v>
      </c>
      <c r="D3" s="13" t="s">
        <v>7</v>
      </c>
      <c r="E3" s="14" t="s">
        <v>8</v>
      </c>
      <c r="F3" s="14" t="s">
        <v>9</v>
      </c>
      <c r="G3" s="14" t="s">
        <v>10</v>
      </c>
      <c r="H3" s="15" t="s">
        <v>8</v>
      </c>
      <c r="I3" s="15" t="s">
        <v>9</v>
      </c>
      <c r="J3" s="15" t="s">
        <v>10</v>
      </c>
      <c r="K3" s="16" t="s">
        <v>8</v>
      </c>
      <c r="L3" s="16" t="s">
        <v>9</v>
      </c>
      <c r="M3" s="16" t="s">
        <v>10</v>
      </c>
      <c r="N3" s="17" t="s">
        <v>8</v>
      </c>
      <c r="O3" s="17" t="s">
        <v>9</v>
      </c>
      <c r="P3" s="17" t="s">
        <v>10</v>
      </c>
      <c r="Q3" s="18" t="s">
        <v>11</v>
      </c>
      <c r="R3" s="19" t="s">
        <v>12</v>
      </c>
      <c r="S3" s="20" t="s">
        <v>13</v>
      </c>
    </row>
    <row r="4">
      <c r="A4" s="21">
        <v>1.0</v>
      </c>
      <c r="B4" s="22" t="s">
        <v>14</v>
      </c>
      <c r="C4" s="23" t="s">
        <v>15</v>
      </c>
      <c r="D4" s="23" t="s">
        <v>16</v>
      </c>
      <c r="E4" s="24">
        <v>678.0</v>
      </c>
      <c r="F4" s="25"/>
      <c r="G4" s="24">
        <v>100.0</v>
      </c>
      <c r="H4" s="26">
        <v>669.0</v>
      </c>
      <c r="I4" s="27"/>
      <c r="J4" s="26">
        <v>100.0</v>
      </c>
      <c r="K4" s="28">
        <v>667.0</v>
      </c>
      <c r="L4" s="28">
        <v>2.0</v>
      </c>
      <c r="M4" s="28">
        <v>90.0</v>
      </c>
      <c r="N4" s="29">
        <v>676.0</v>
      </c>
      <c r="O4" s="29"/>
      <c r="P4" s="29">
        <v>100.0</v>
      </c>
      <c r="Q4" s="30">
        <f t="shared" ref="Q4:Q48" si="1">(E4+H4+N4+K4)/4</f>
        <v>672.5</v>
      </c>
      <c r="R4" s="2">
        <f t="shared" ref="R4:R48" si="2">G4+J4+P4+M4</f>
        <v>390</v>
      </c>
      <c r="S4" s="31">
        <f t="shared" ref="S4:S48" si="3">Q4+R4</f>
        <v>1062.5</v>
      </c>
    </row>
    <row r="5">
      <c r="A5" s="32">
        <v>2.0</v>
      </c>
      <c r="B5" s="23" t="s">
        <v>17</v>
      </c>
      <c r="C5" s="23" t="s">
        <v>18</v>
      </c>
      <c r="D5" s="23" t="s">
        <v>19</v>
      </c>
      <c r="E5" s="24">
        <v>626.0</v>
      </c>
      <c r="F5" s="25"/>
      <c r="G5" s="24">
        <v>100.0</v>
      </c>
      <c r="H5" s="26">
        <v>657.0</v>
      </c>
      <c r="I5" s="26">
        <v>1.0</v>
      </c>
      <c r="J5" s="26">
        <v>100.0</v>
      </c>
      <c r="K5" s="28">
        <v>654.0</v>
      </c>
      <c r="L5" s="28">
        <v>1.0</v>
      </c>
      <c r="M5" s="28">
        <v>100.0</v>
      </c>
      <c r="N5" s="29">
        <v>650.0</v>
      </c>
      <c r="O5" s="29"/>
      <c r="P5" s="29">
        <v>100.0</v>
      </c>
      <c r="Q5" s="30">
        <f t="shared" si="1"/>
        <v>646.75</v>
      </c>
      <c r="R5" s="2">
        <f t="shared" si="2"/>
        <v>400</v>
      </c>
      <c r="S5" s="31">
        <f t="shared" si="3"/>
        <v>1046.75</v>
      </c>
    </row>
    <row r="6">
      <c r="A6" s="21">
        <v>3.0</v>
      </c>
      <c r="B6" s="23" t="s">
        <v>20</v>
      </c>
      <c r="C6" s="23" t="s">
        <v>15</v>
      </c>
      <c r="D6" s="23" t="s">
        <v>21</v>
      </c>
      <c r="E6" s="24">
        <v>670.0</v>
      </c>
      <c r="F6" s="25"/>
      <c r="G6" s="24">
        <v>100.0</v>
      </c>
      <c r="H6" s="26">
        <v>645.0</v>
      </c>
      <c r="I6" s="27"/>
      <c r="J6" s="26">
        <v>100.0</v>
      </c>
      <c r="K6" s="28">
        <v>651.0</v>
      </c>
      <c r="L6" s="28">
        <v>5.0</v>
      </c>
      <c r="M6" s="28">
        <v>60.0</v>
      </c>
      <c r="N6" s="29">
        <v>639.0</v>
      </c>
      <c r="O6" s="29">
        <v>1.0</v>
      </c>
      <c r="P6" s="29">
        <v>100.0</v>
      </c>
      <c r="Q6" s="30">
        <f t="shared" si="1"/>
        <v>651.25</v>
      </c>
      <c r="R6" s="2">
        <f t="shared" si="2"/>
        <v>360</v>
      </c>
      <c r="S6" s="31">
        <f t="shared" si="3"/>
        <v>1011.25</v>
      </c>
    </row>
    <row r="7">
      <c r="A7" s="32">
        <v>4.0</v>
      </c>
      <c r="B7" s="23" t="s">
        <v>22</v>
      </c>
      <c r="C7" s="23" t="s">
        <v>15</v>
      </c>
      <c r="D7" s="23" t="s">
        <v>23</v>
      </c>
      <c r="E7" s="24">
        <v>656.0</v>
      </c>
      <c r="F7" s="25"/>
      <c r="G7" s="24">
        <v>100.0</v>
      </c>
      <c r="H7" s="26">
        <v>651.0</v>
      </c>
      <c r="I7" s="26">
        <v>3.0</v>
      </c>
      <c r="J7" s="26">
        <v>80.0</v>
      </c>
      <c r="K7" s="28">
        <v>676.0</v>
      </c>
      <c r="L7" s="28">
        <v>3.0</v>
      </c>
      <c r="M7" s="28">
        <v>80.0</v>
      </c>
      <c r="N7" s="29">
        <v>645.0</v>
      </c>
      <c r="O7" s="29">
        <v>3.0</v>
      </c>
      <c r="P7" s="29">
        <v>80.0</v>
      </c>
      <c r="Q7" s="30">
        <f t="shared" si="1"/>
        <v>657</v>
      </c>
      <c r="R7" s="2">
        <f t="shared" si="2"/>
        <v>340</v>
      </c>
      <c r="S7" s="31">
        <f t="shared" si="3"/>
        <v>997</v>
      </c>
    </row>
    <row r="8">
      <c r="A8" s="21">
        <v>5.0</v>
      </c>
      <c r="B8" s="33" t="s">
        <v>24</v>
      </c>
      <c r="C8" s="33" t="s">
        <v>15</v>
      </c>
      <c r="D8" s="33" t="s">
        <v>25</v>
      </c>
      <c r="E8" s="34">
        <v>663.0</v>
      </c>
      <c r="F8" s="34">
        <v>1.0</v>
      </c>
      <c r="G8" s="35">
        <v>100.0</v>
      </c>
      <c r="H8" s="36">
        <v>648.0</v>
      </c>
      <c r="I8" s="36">
        <v>2.0</v>
      </c>
      <c r="J8" s="37">
        <v>90.0</v>
      </c>
      <c r="K8" s="38">
        <v>666.0</v>
      </c>
      <c r="L8" s="38">
        <v>1.0</v>
      </c>
      <c r="M8" s="38">
        <v>70.0</v>
      </c>
      <c r="N8" s="39">
        <v>648.0</v>
      </c>
      <c r="O8" s="39">
        <v>5.0</v>
      </c>
      <c r="P8" s="39">
        <v>60.0</v>
      </c>
      <c r="Q8" s="40">
        <f t="shared" si="1"/>
        <v>656.25</v>
      </c>
      <c r="R8" s="41">
        <f t="shared" si="2"/>
        <v>320</v>
      </c>
      <c r="S8" s="42">
        <f t="shared" si="3"/>
        <v>976.25</v>
      </c>
    </row>
    <row r="9">
      <c r="A9" s="32">
        <v>6.0</v>
      </c>
      <c r="B9" s="23" t="s">
        <v>26</v>
      </c>
      <c r="C9" s="23" t="s">
        <v>18</v>
      </c>
      <c r="D9" s="23" t="s">
        <v>27</v>
      </c>
      <c r="E9" s="24">
        <v>668.0</v>
      </c>
      <c r="F9" s="24">
        <v>2.0</v>
      </c>
      <c r="G9" s="43">
        <v>90.0</v>
      </c>
      <c r="H9" s="26">
        <v>661.0</v>
      </c>
      <c r="I9" s="27"/>
      <c r="J9" s="44">
        <v>100.0</v>
      </c>
      <c r="K9" s="16">
        <v>679.0</v>
      </c>
      <c r="L9" s="16"/>
      <c r="M9" s="16"/>
      <c r="N9" s="29">
        <v>641.0</v>
      </c>
      <c r="O9" s="17"/>
      <c r="P9" s="45">
        <v>100.0</v>
      </c>
      <c r="Q9" s="30">
        <f t="shared" si="1"/>
        <v>662.25</v>
      </c>
      <c r="R9" s="2">
        <f t="shared" si="2"/>
        <v>290</v>
      </c>
      <c r="S9" s="31">
        <f t="shared" si="3"/>
        <v>952.25</v>
      </c>
    </row>
    <row r="10">
      <c r="A10" s="21">
        <v>7.0</v>
      </c>
      <c r="B10" s="23" t="s">
        <v>28</v>
      </c>
      <c r="C10" s="23" t="s">
        <v>15</v>
      </c>
      <c r="D10" s="23" t="s">
        <v>29</v>
      </c>
      <c r="E10" s="24">
        <v>634.0</v>
      </c>
      <c r="F10" s="24">
        <v>3.0</v>
      </c>
      <c r="G10" s="43">
        <v>80.0</v>
      </c>
      <c r="H10" s="44">
        <v>617.0</v>
      </c>
      <c r="I10" s="26">
        <v>5.0</v>
      </c>
      <c r="J10" s="26">
        <v>60.0</v>
      </c>
      <c r="K10" s="28">
        <v>641.0</v>
      </c>
      <c r="L10" s="28">
        <v>2.0</v>
      </c>
      <c r="M10" s="28">
        <v>60.0</v>
      </c>
      <c r="N10" s="45">
        <v>659.0</v>
      </c>
      <c r="O10" s="45">
        <v>2.0</v>
      </c>
      <c r="P10" s="45">
        <v>90.0</v>
      </c>
      <c r="Q10" s="30">
        <f t="shared" si="1"/>
        <v>637.75</v>
      </c>
      <c r="R10" s="2">
        <f t="shared" si="2"/>
        <v>290</v>
      </c>
      <c r="S10" s="31">
        <f t="shared" si="3"/>
        <v>927.75</v>
      </c>
    </row>
    <row r="11">
      <c r="A11" s="32">
        <v>8.0</v>
      </c>
      <c r="B11" s="23" t="s">
        <v>30</v>
      </c>
      <c r="C11" s="23" t="s">
        <v>18</v>
      </c>
      <c r="D11" s="23" t="s">
        <v>21</v>
      </c>
      <c r="E11" s="24">
        <v>656.0</v>
      </c>
      <c r="F11" s="25"/>
      <c r="G11" s="24">
        <v>100.0</v>
      </c>
      <c r="H11" s="26">
        <v>636.0</v>
      </c>
      <c r="I11" s="26">
        <v>7.0</v>
      </c>
      <c r="J11" s="26">
        <v>40.0</v>
      </c>
      <c r="K11" s="28">
        <v>646.0</v>
      </c>
      <c r="L11" s="28">
        <v>4.0</v>
      </c>
      <c r="M11" s="28">
        <v>70.0</v>
      </c>
      <c r="N11" s="29">
        <v>622.0</v>
      </c>
      <c r="O11" s="29"/>
      <c r="P11" s="29"/>
      <c r="Q11" s="30">
        <f t="shared" si="1"/>
        <v>640</v>
      </c>
      <c r="R11" s="2">
        <f t="shared" si="2"/>
        <v>210</v>
      </c>
      <c r="S11" s="31">
        <f t="shared" si="3"/>
        <v>850</v>
      </c>
    </row>
    <row r="12">
      <c r="A12" s="21">
        <v>9.0</v>
      </c>
      <c r="B12" s="23" t="s">
        <v>31</v>
      </c>
      <c r="C12" s="23" t="s">
        <v>32</v>
      </c>
      <c r="D12" s="23" t="s">
        <v>21</v>
      </c>
      <c r="E12" s="24">
        <v>641.0</v>
      </c>
      <c r="F12" s="24">
        <v>4.0</v>
      </c>
      <c r="G12" s="43">
        <v>70.0</v>
      </c>
      <c r="H12" s="44">
        <v>635.0</v>
      </c>
      <c r="I12" s="27"/>
      <c r="J12" s="26">
        <v>100.0</v>
      </c>
      <c r="K12" s="28">
        <v>634.0</v>
      </c>
      <c r="L12" s="28"/>
      <c r="M12" s="28"/>
      <c r="N12" s="29">
        <v>647.0</v>
      </c>
      <c r="O12" s="45">
        <v>7.0</v>
      </c>
      <c r="P12" s="45">
        <v>40.0</v>
      </c>
      <c r="Q12" s="30">
        <f t="shared" si="1"/>
        <v>639.25</v>
      </c>
      <c r="R12" s="2">
        <f t="shared" si="2"/>
        <v>210</v>
      </c>
      <c r="S12" s="31">
        <f t="shared" si="3"/>
        <v>849.25</v>
      </c>
    </row>
    <row r="13">
      <c r="A13" s="32">
        <v>10.0</v>
      </c>
      <c r="B13" s="23" t="s">
        <v>33</v>
      </c>
      <c r="C13" s="23" t="s">
        <v>15</v>
      </c>
      <c r="D13" s="23" t="s">
        <v>34</v>
      </c>
      <c r="E13" s="24">
        <v>656.0</v>
      </c>
      <c r="F13" s="25"/>
      <c r="G13" s="14"/>
      <c r="H13" s="44">
        <v>633.0</v>
      </c>
      <c r="I13" s="26">
        <v>4.0</v>
      </c>
      <c r="J13" s="26">
        <v>70.0</v>
      </c>
      <c r="K13" s="28">
        <v>654.0</v>
      </c>
      <c r="L13" s="28">
        <v>7.0</v>
      </c>
      <c r="M13" s="28">
        <v>40.0</v>
      </c>
      <c r="N13" s="29">
        <v>635.0</v>
      </c>
      <c r="O13" s="45">
        <v>4.0</v>
      </c>
      <c r="P13" s="45">
        <v>70.0</v>
      </c>
      <c r="Q13" s="30">
        <f t="shared" si="1"/>
        <v>644.5</v>
      </c>
      <c r="R13" s="2">
        <f t="shared" si="2"/>
        <v>180</v>
      </c>
      <c r="S13" s="31">
        <f t="shared" si="3"/>
        <v>824.5</v>
      </c>
    </row>
    <row r="14">
      <c r="A14" s="21">
        <v>11.0</v>
      </c>
      <c r="B14" s="23" t="s">
        <v>35</v>
      </c>
      <c r="C14" s="23" t="s">
        <v>36</v>
      </c>
      <c r="D14" s="23" t="s">
        <v>34</v>
      </c>
      <c r="E14" s="24">
        <v>642.0</v>
      </c>
      <c r="F14" s="24">
        <v>8.0</v>
      </c>
      <c r="G14" s="43">
        <v>30.0</v>
      </c>
      <c r="H14" s="26">
        <v>632.0</v>
      </c>
      <c r="I14" s="26">
        <v>6.0</v>
      </c>
      <c r="J14" s="44">
        <v>50.0</v>
      </c>
      <c r="K14" s="16">
        <v>634.0</v>
      </c>
      <c r="L14" s="16"/>
      <c r="M14" s="16"/>
      <c r="N14" s="29">
        <v>622.0</v>
      </c>
      <c r="O14" s="45">
        <v>8.0</v>
      </c>
      <c r="P14" s="45">
        <v>30.0</v>
      </c>
      <c r="Q14" s="30">
        <f t="shared" si="1"/>
        <v>632.5</v>
      </c>
      <c r="R14" s="2">
        <f t="shared" si="2"/>
        <v>110</v>
      </c>
      <c r="S14" s="31">
        <f t="shared" si="3"/>
        <v>742.5</v>
      </c>
    </row>
    <row r="15">
      <c r="A15" s="32">
        <v>12.0</v>
      </c>
      <c r="B15" s="23" t="s">
        <v>37</v>
      </c>
      <c r="C15" s="23" t="s">
        <v>36</v>
      </c>
      <c r="D15" s="23"/>
      <c r="E15" s="24">
        <v>624.0</v>
      </c>
      <c r="F15" s="25"/>
      <c r="G15" s="14"/>
      <c r="H15" s="44">
        <v>618.0</v>
      </c>
      <c r="I15" s="27"/>
      <c r="J15" s="27"/>
      <c r="K15" s="28">
        <v>640.0</v>
      </c>
      <c r="L15" s="28">
        <v>8.0</v>
      </c>
      <c r="M15" s="28">
        <v>30.0</v>
      </c>
      <c r="N15" s="29">
        <v>643.0</v>
      </c>
      <c r="O15" s="29">
        <v>6.0</v>
      </c>
      <c r="P15" s="29">
        <v>50.0</v>
      </c>
      <c r="Q15" s="30">
        <f t="shared" si="1"/>
        <v>631.25</v>
      </c>
      <c r="R15" s="2">
        <f t="shared" si="2"/>
        <v>80</v>
      </c>
      <c r="S15" s="31">
        <f t="shared" si="3"/>
        <v>711.25</v>
      </c>
    </row>
    <row r="16">
      <c r="A16" s="21">
        <v>13.0</v>
      </c>
      <c r="B16" s="23" t="s">
        <v>38</v>
      </c>
      <c r="C16" s="23" t="s">
        <v>39</v>
      </c>
      <c r="D16" s="23" t="s">
        <v>40</v>
      </c>
      <c r="E16" s="24">
        <v>613.0</v>
      </c>
      <c r="F16" s="25"/>
      <c r="G16" s="25"/>
      <c r="H16" s="26">
        <v>622.0</v>
      </c>
      <c r="I16" s="27"/>
      <c r="J16" s="15"/>
      <c r="K16" s="16">
        <v>634.0</v>
      </c>
      <c r="L16" s="46"/>
      <c r="M16" s="46"/>
      <c r="N16" s="29">
        <v>604.0</v>
      </c>
      <c r="O16" s="47"/>
      <c r="P16" s="47"/>
      <c r="Q16" s="30">
        <f t="shared" si="1"/>
        <v>618.25</v>
      </c>
      <c r="R16" s="2">
        <f t="shared" si="2"/>
        <v>0</v>
      </c>
      <c r="S16" s="31">
        <f t="shared" si="3"/>
        <v>618.25</v>
      </c>
    </row>
    <row r="17">
      <c r="A17" s="32">
        <v>14.0</v>
      </c>
      <c r="B17" s="23" t="s">
        <v>41</v>
      </c>
      <c r="C17" s="23" t="s">
        <v>42</v>
      </c>
      <c r="D17" s="23"/>
      <c r="E17" s="24">
        <v>605.0</v>
      </c>
      <c r="F17" s="25"/>
      <c r="G17" s="25"/>
      <c r="H17" s="26">
        <v>613.0</v>
      </c>
      <c r="I17" s="27"/>
      <c r="J17" s="15"/>
      <c r="K17" s="16">
        <v>616.0</v>
      </c>
      <c r="L17" s="46"/>
      <c r="M17" s="46"/>
      <c r="N17" s="29">
        <v>598.0</v>
      </c>
      <c r="O17" s="47"/>
      <c r="P17" s="47"/>
      <c r="Q17" s="30">
        <f t="shared" si="1"/>
        <v>608</v>
      </c>
      <c r="R17" s="2">
        <f t="shared" si="2"/>
        <v>0</v>
      </c>
      <c r="S17" s="31">
        <f t="shared" si="3"/>
        <v>608</v>
      </c>
    </row>
    <row r="18">
      <c r="A18" s="21">
        <v>15.0</v>
      </c>
      <c r="B18" s="23" t="s">
        <v>43</v>
      </c>
      <c r="C18" s="23" t="s">
        <v>44</v>
      </c>
      <c r="D18" s="23" t="s">
        <v>40</v>
      </c>
      <c r="E18" s="24">
        <v>614.0</v>
      </c>
      <c r="F18" s="25"/>
      <c r="G18" s="25"/>
      <c r="H18" s="26">
        <v>588.0</v>
      </c>
      <c r="I18" s="27"/>
      <c r="J18" s="15"/>
      <c r="K18" s="16">
        <v>618.0</v>
      </c>
      <c r="L18" s="46"/>
      <c r="M18" s="46"/>
      <c r="N18" s="29">
        <v>580.0</v>
      </c>
      <c r="O18" s="47"/>
      <c r="P18" s="47"/>
      <c r="Q18" s="30">
        <f t="shared" si="1"/>
        <v>600</v>
      </c>
      <c r="R18" s="2">
        <f t="shared" si="2"/>
        <v>0</v>
      </c>
      <c r="S18" s="31">
        <f t="shared" si="3"/>
        <v>600</v>
      </c>
    </row>
    <row r="19">
      <c r="A19" s="32">
        <v>16.0</v>
      </c>
      <c r="B19" s="23" t="s">
        <v>45</v>
      </c>
      <c r="C19" s="23" t="s">
        <v>18</v>
      </c>
      <c r="D19" s="23"/>
      <c r="E19" s="24">
        <v>621.0</v>
      </c>
      <c r="F19" s="24">
        <v>6.0</v>
      </c>
      <c r="G19" s="24">
        <v>50.0</v>
      </c>
      <c r="H19" s="26">
        <v>589.0</v>
      </c>
      <c r="I19" s="27"/>
      <c r="J19" s="27"/>
      <c r="K19" s="28">
        <v>618.0</v>
      </c>
      <c r="L19" s="48"/>
      <c r="M19" s="48"/>
      <c r="N19" s="29"/>
      <c r="O19" s="17"/>
      <c r="P19" s="17"/>
      <c r="Q19" s="30">
        <f t="shared" si="1"/>
        <v>457</v>
      </c>
      <c r="R19" s="2">
        <f t="shared" si="2"/>
        <v>50</v>
      </c>
      <c r="S19" s="31">
        <f t="shared" si="3"/>
        <v>507</v>
      </c>
    </row>
    <row r="20">
      <c r="A20" s="21">
        <v>17.0</v>
      </c>
      <c r="B20" s="23" t="s">
        <v>46</v>
      </c>
      <c r="C20" s="23" t="s">
        <v>18</v>
      </c>
      <c r="D20" s="23"/>
      <c r="E20" s="24">
        <v>600.0</v>
      </c>
      <c r="F20" s="24">
        <v>7.0</v>
      </c>
      <c r="G20" s="24">
        <v>40.0</v>
      </c>
      <c r="H20" s="26">
        <v>560.0</v>
      </c>
      <c r="I20" s="27"/>
      <c r="J20" s="27"/>
      <c r="K20" s="48"/>
      <c r="L20" s="48"/>
      <c r="M20" s="48"/>
      <c r="N20" s="29">
        <v>575.0</v>
      </c>
      <c r="O20" s="47"/>
      <c r="P20" s="47"/>
      <c r="Q20" s="30">
        <f t="shared" si="1"/>
        <v>433.75</v>
      </c>
      <c r="R20" s="2">
        <f t="shared" si="2"/>
        <v>40</v>
      </c>
      <c r="S20" s="31">
        <f t="shared" si="3"/>
        <v>473.75</v>
      </c>
    </row>
    <row r="21">
      <c r="A21" s="32">
        <v>18.0</v>
      </c>
      <c r="B21" s="22" t="s">
        <v>47</v>
      </c>
      <c r="C21" s="22" t="s">
        <v>48</v>
      </c>
      <c r="D21" s="22" t="s">
        <v>40</v>
      </c>
      <c r="E21" s="25"/>
      <c r="F21" s="25"/>
      <c r="G21" s="25"/>
      <c r="H21" s="26">
        <v>601.0</v>
      </c>
      <c r="I21" s="27"/>
      <c r="J21" s="27"/>
      <c r="K21" s="28">
        <v>624.0</v>
      </c>
      <c r="L21" s="48"/>
      <c r="M21" s="48"/>
      <c r="N21" s="29">
        <v>618.0</v>
      </c>
      <c r="O21" s="47"/>
      <c r="P21" s="47"/>
      <c r="Q21" s="30">
        <f t="shared" si="1"/>
        <v>460.75</v>
      </c>
      <c r="R21" s="2">
        <f t="shared" si="2"/>
        <v>0</v>
      </c>
      <c r="S21" s="31">
        <f t="shared" si="3"/>
        <v>460.75</v>
      </c>
    </row>
    <row r="22">
      <c r="A22" s="21">
        <v>19.0</v>
      </c>
      <c r="B22" s="22" t="s">
        <v>49</v>
      </c>
      <c r="C22" s="22" t="s">
        <v>32</v>
      </c>
      <c r="D22" s="22"/>
      <c r="E22" s="24">
        <v>593.0</v>
      </c>
      <c r="F22" s="25"/>
      <c r="G22" s="25"/>
      <c r="H22" s="27"/>
      <c r="I22" s="27"/>
      <c r="J22" s="15"/>
      <c r="K22" s="16">
        <v>564.0</v>
      </c>
      <c r="L22" s="46"/>
      <c r="M22" s="46"/>
      <c r="N22" s="29">
        <v>358.0</v>
      </c>
      <c r="O22" s="47"/>
      <c r="P22" s="47"/>
      <c r="Q22" s="30">
        <f t="shared" si="1"/>
        <v>378.75</v>
      </c>
      <c r="R22" s="2">
        <f t="shared" si="2"/>
        <v>0</v>
      </c>
      <c r="S22" s="31">
        <f t="shared" si="3"/>
        <v>378.75</v>
      </c>
    </row>
    <row r="23">
      <c r="A23" s="32">
        <v>20.0</v>
      </c>
      <c r="B23" s="23" t="s">
        <v>50</v>
      </c>
      <c r="C23" s="23" t="s">
        <v>51</v>
      </c>
      <c r="D23" s="23"/>
      <c r="E23" s="24">
        <v>632.0</v>
      </c>
      <c r="F23" s="24">
        <v>5.0</v>
      </c>
      <c r="G23" s="43">
        <v>60.0</v>
      </c>
      <c r="H23" s="27"/>
      <c r="I23" s="27"/>
      <c r="J23" s="27"/>
      <c r="K23" s="28">
        <v>642.0</v>
      </c>
      <c r="L23" s="48"/>
      <c r="M23" s="48"/>
      <c r="N23" s="29"/>
      <c r="O23" s="17"/>
      <c r="P23" s="17"/>
      <c r="Q23" s="30">
        <f t="shared" si="1"/>
        <v>318.5</v>
      </c>
      <c r="R23" s="2">
        <f t="shared" si="2"/>
        <v>60</v>
      </c>
      <c r="S23" s="31">
        <f t="shared" si="3"/>
        <v>378.5</v>
      </c>
    </row>
    <row r="24">
      <c r="A24" s="21">
        <v>21.0</v>
      </c>
      <c r="B24" s="31" t="s">
        <v>52</v>
      </c>
      <c r="C24" s="22" t="s">
        <v>32</v>
      </c>
      <c r="D24" s="22"/>
      <c r="E24" s="49"/>
      <c r="F24" s="49"/>
      <c r="G24" s="49"/>
      <c r="H24" s="50"/>
      <c r="I24" s="50"/>
      <c r="J24" s="50"/>
      <c r="K24" s="51">
        <v>601.0</v>
      </c>
      <c r="L24" s="52"/>
      <c r="M24" s="52"/>
      <c r="N24" s="53">
        <v>551.0</v>
      </c>
      <c r="O24" s="54"/>
      <c r="P24" s="54"/>
      <c r="Q24" s="30">
        <f t="shared" si="1"/>
        <v>288</v>
      </c>
      <c r="R24" s="2">
        <f t="shared" si="2"/>
        <v>0</v>
      </c>
      <c r="S24" s="31">
        <f t="shared" si="3"/>
        <v>288</v>
      </c>
    </row>
    <row r="25">
      <c r="A25" s="32">
        <v>22.0</v>
      </c>
      <c r="B25" s="23" t="s">
        <v>53</v>
      </c>
      <c r="C25" s="23" t="s">
        <v>18</v>
      </c>
      <c r="D25" s="23"/>
      <c r="E25" s="24">
        <v>510.0</v>
      </c>
      <c r="F25" s="25"/>
      <c r="G25" s="25"/>
      <c r="H25" s="26">
        <v>547.0</v>
      </c>
      <c r="I25" s="27"/>
      <c r="J25" s="27"/>
      <c r="K25" s="48"/>
      <c r="L25" s="48"/>
      <c r="M25" s="48"/>
      <c r="N25" s="47"/>
      <c r="O25" s="47"/>
      <c r="P25" s="47"/>
      <c r="Q25" s="30">
        <f t="shared" si="1"/>
        <v>264.25</v>
      </c>
      <c r="R25" s="2">
        <f t="shared" si="2"/>
        <v>0</v>
      </c>
      <c r="S25" s="31">
        <f t="shared" si="3"/>
        <v>264.25</v>
      </c>
    </row>
    <row r="26">
      <c r="A26" s="21">
        <v>23.0</v>
      </c>
      <c r="B26" s="31" t="s">
        <v>54</v>
      </c>
      <c r="C26" s="31" t="s">
        <v>55</v>
      </c>
      <c r="D26" s="31"/>
      <c r="E26" s="49"/>
      <c r="F26" s="49"/>
      <c r="G26" s="49"/>
      <c r="H26" s="50"/>
      <c r="I26" s="50"/>
      <c r="J26" s="50"/>
      <c r="K26" s="51">
        <v>565.0</v>
      </c>
      <c r="L26" s="52"/>
      <c r="M26" s="52"/>
      <c r="N26" s="53">
        <v>487.0</v>
      </c>
      <c r="O26" s="54"/>
      <c r="P26" s="54"/>
      <c r="Q26" s="30">
        <f t="shared" si="1"/>
        <v>263</v>
      </c>
      <c r="R26" s="2">
        <f t="shared" si="2"/>
        <v>0</v>
      </c>
      <c r="S26" s="31">
        <f t="shared" si="3"/>
        <v>263</v>
      </c>
    </row>
    <row r="27">
      <c r="A27" s="32">
        <v>24.0</v>
      </c>
      <c r="B27" s="23" t="s">
        <v>56</v>
      </c>
      <c r="C27" s="23" t="s">
        <v>18</v>
      </c>
      <c r="D27" s="23"/>
      <c r="E27" s="24">
        <v>488.0</v>
      </c>
      <c r="F27" s="25"/>
      <c r="G27" s="25"/>
      <c r="H27" s="26">
        <v>503.0</v>
      </c>
      <c r="I27" s="27"/>
      <c r="J27" s="27"/>
      <c r="K27" s="48"/>
      <c r="L27" s="48"/>
      <c r="M27" s="48"/>
      <c r="N27" s="47"/>
      <c r="O27" s="47"/>
      <c r="P27" s="47"/>
      <c r="Q27" s="30">
        <f t="shared" si="1"/>
        <v>247.75</v>
      </c>
      <c r="R27" s="2">
        <f t="shared" si="2"/>
        <v>0</v>
      </c>
      <c r="S27" s="31">
        <f t="shared" si="3"/>
        <v>247.75</v>
      </c>
    </row>
    <row r="28">
      <c r="A28" s="21">
        <v>25.0</v>
      </c>
      <c r="B28" s="22" t="s">
        <v>57</v>
      </c>
      <c r="C28" s="22" t="s">
        <v>32</v>
      </c>
      <c r="D28" s="22"/>
      <c r="E28" s="25"/>
      <c r="F28" s="25"/>
      <c r="G28" s="25"/>
      <c r="H28" s="26">
        <v>467.0</v>
      </c>
      <c r="I28" s="27"/>
      <c r="J28" s="27"/>
      <c r="K28" s="48"/>
      <c r="L28" s="48"/>
      <c r="M28" s="48"/>
      <c r="N28" s="29">
        <v>443.0</v>
      </c>
      <c r="O28" s="47"/>
      <c r="P28" s="47"/>
      <c r="Q28" s="30">
        <f t="shared" si="1"/>
        <v>227.5</v>
      </c>
      <c r="R28" s="2">
        <f t="shared" si="2"/>
        <v>0</v>
      </c>
      <c r="S28" s="31">
        <f t="shared" si="3"/>
        <v>227.5</v>
      </c>
    </row>
    <row r="29">
      <c r="A29" s="32">
        <v>26.0</v>
      </c>
      <c r="B29" s="22" t="s">
        <v>58</v>
      </c>
      <c r="C29" s="22" t="s">
        <v>32</v>
      </c>
      <c r="D29" s="22"/>
      <c r="E29" s="25"/>
      <c r="F29" s="25"/>
      <c r="G29" s="25"/>
      <c r="H29" s="26">
        <v>458.0</v>
      </c>
      <c r="I29" s="27"/>
      <c r="J29" s="27"/>
      <c r="K29" s="28">
        <v>415.0</v>
      </c>
      <c r="L29" s="48"/>
      <c r="M29" s="48"/>
      <c r="N29" s="29"/>
      <c r="O29" s="47"/>
      <c r="P29" s="47"/>
      <c r="Q29" s="30">
        <f t="shared" si="1"/>
        <v>218.25</v>
      </c>
      <c r="R29" s="2">
        <f t="shared" si="2"/>
        <v>0</v>
      </c>
      <c r="S29" s="31">
        <f t="shared" si="3"/>
        <v>218.25</v>
      </c>
    </row>
    <row r="30">
      <c r="A30" s="21">
        <v>27.0</v>
      </c>
      <c r="B30" s="55" t="s">
        <v>59</v>
      </c>
      <c r="C30" s="55" t="s">
        <v>60</v>
      </c>
      <c r="D30" s="55"/>
      <c r="E30" s="49"/>
      <c r="F30" s="49"/>
      <c r="G30" s="49"/>
      <c r="H30" s="50"/>
      <c r="I30" s="50"/>
      <c r="J30" s="50"/>
      <c r="K30" s="56">
        <v>622.0</v>
      </c>
      <c r="L30" s="56">
        <v>6.0</v>
      </c>
      <c r="M30" s="56">
        <v>50.0</v>
      </c>
      <c r="N30" s="54"/>
      <c r="O30" s="54"/>
      <c r="P30" s="54"/>
      <c r="Q30" s="30">
        <f t="shared" si="1"/>
        <v>155.5</v>
      </c>
      <c r="R30" s="2">
        <f t="shared" si="2"/>
        <v>50</v>
      </c>
      <c r="S30" s="31">
        <f t="shared" si="3"/>
        <v>205.5</v>
      </c>
    </row>
    <row r="31">
      <c r="A31" s="32">
        <v>28.0</v>
      </c>
      <c r="B31" s="22" t="s">
        <v>61</v>
      </c>
      <c r="C31" s="22" t="s">
        <v>51</v>
      </c>
      <c r="D31" s="22"/>
      <c r="E31" s="25"/>
      <c r="F31" s="25"/>
      <c r="G31" s="25"/>
      <c r="H31" s="26">
        <v>615.0</v>
      </c>
      <c r="I31" s="26">
        <v>8.0</v>
      </c>
      <c r="J31" s="26">
        <v>30.0</v>
      </c>
      <c r="K31" s="28"/>
      <c r="L31" s="28"/>
      <c r="M31" s="28"/>
      <c r="N31" s="47"/>
      <c r="O31" s="47"/>
      <c r="P31" s="47"/>
      <c r="Q31" s="30">
        <f t="shared" si="1"/>
        <v>153.75</v>
      </c>
      <c r="R31" s="2">
        <f t="shared" si="2"/>
        <v>30</v>
      </c>
      <c r="S31" s="31">
        <f t="shared" si="3"/>
        <v>183.75</v>
      </c>
    </row>
    <row r="32">
      <c r="A32" s="21">
        <v>29.0</v>
      </c>
      <c r="B32" s="55" t="s">
        <v>62</v>
      </c>
      <c r="C32" s="3" t="s">
        <v>63</v>
      </c>
      <c r="D32" s="3"/>
      <c r="E32" s="49"/>
      <c r="F32" s="49"/>
      <c r="G32" s="49"/>
      <c r="H32" s="50"/>
      <c r="I32" s="50"/>
      <c r="J32" s="50"/>
      <c r="K32" s="48">
        <v>650.0</v>
      </c>
      <c r="L32" s="52"/>
      <c r="M32" s="52"/>
      <c r="N32" s="54"/>
      <c r="O32" s="54"/>
      <c r="P32" s="54"/>
      <c r="Q32" s="30">
        <f t="shared" si="1"/>
        <v>162.5</v>
      </c>
      <c r="R32" s="2">
        <f t="shared" si="2"/>
        <v>0</v>
      </c>
      <c r="S32" s="31">
        <f t="shared" si="3"/>
        <v>162.5</v>
      </c>
    </row>
    <row r="33">
      <c r="A33" s="32">
        <v>30.0</v>
      </c>
      <c r="B33" s="55" t="s">
        <v>64</v>
      </c>
      <c r="C33" s="3" t="s">
        <v>63</v>
      </c>
      <c r="D33" s="3"/>
      <c r="E33" s="49"/>
      <c r="F33" s="49"/>
      <c r="G33" s="49"/>
      <c r="H33" s="50"/>
      <c r="I33" s="50"/>
      <c r="J33" s="50"/>
      <c r="K33" s="56">
        <v>625.0</v>
      </c>
      <c r="L33" s="52"/>
      <c r="M33" s="52"/>
      <c r="N33" s="54"/>
      <c r="O33" s="54"/>
      <c r="P33" s="54"/>
      <c r="Q33" s="30">
        <f t="shared" si="1"/>
        <v>156.25</v>
      </c>
      <c r="R33" s="2">
        <f t="shared" si="2"/>
        <v>0</v>
      </c>
      <c r="S33" s="31">
        <f t="shared" si="3"/>
        <v>156.25</v>
      </c>
    </row>
    <row r="34">
      <c r="A34" s="21">
        <v>31.0</v>
      </c>
      <c r="B34" s="22" t="s">
        <v>65</v>
      </c>
      <c r="C34" s="22" t="s">
        <v>15</v>
      </c>
      <c r="D34" s="22"/>
      <c r="E34" s="24">
        <v>613.0</v>
      </c>
      <c r="F34" s="25"/>
      <c r="G34" s="25"/>
      <c r="H34" s="27"/>
      <c r="I34" s="27"/>
      <c r="J34" s="15"/>
      <c r="K34" s="46"/>
      <c r="L34" s="46"/>
      <c r="M34" s="46"/>
      <c r="N34" s="47"/>
      <c r="O34" s="47"/>
      <c r="P34" s="47"/>
      <c r="Q34" s="30">
        <f t="shared" si="1"/>
        <v>153.25</v>
      </c>
      <c r="R34" s="2">
        <f t="shared" si="2"/>
        <v>0</v>
      </c>
      <c r="S34" s="31">
        <f t="shared" si="3"/>
        <v>153.25</v>
      </c>
    </row>
    <row r="35">
      <c r="A35" s="32">
        <v>32.0</v>
      </c>
      <c r="B35" s="22" t="s">
        <v>66</v>
      </c>
      <c r="C35" s="22" t="s">
        <v>67</v>
      </c>
      <c r="D35" s="22"/>
      <c r="E35" s="25"/>
      <c r="F35" s="25"/>
      <c r="G35" s="25"/>
      <c r="H35" s="26">
        <v>589.0</v>
      </c>
      <c r="I35" s="27"/>
      <c r="J35" s="27"/>
      <c r="K35" s="48"/>
      <c r="L35" s="48"/>
      <c r="M35" s="48"/>
      <c r="N35" s="47"/>
      <c r="O35" s="47"/>
      <c r="P35" s="47"/>
      <c r="Q35" s="30">
        <f t="shared" si="1"/>
        <v>147.25</v>
      </c>
      <c r="R35" s="2">
        <f t="shared" si="2"/>
        <v>0</v>
      </c>
      <c r="S35" s="31">
        <f t="shared" si="3"/>
        <v>147.25</v>
      </c>
    </row>
    <row r="36">
      <c r="A36" s="21">
        <v>33.0</v>
      </c>
      <c r="B36" s="22" t="s">
        <v>68</v>
      </c>
      <c r="C36" s="22" t="s">
        <v>18</v>
      </c>
      <c r="D36" s="22"/>
      <c r="E36" s="24">
        <v>585.0</v>
      </c>
      <c r="F36" s="25"/>
      <c r="G36" s="25"/>
      <c r="H36" s="27"/>
      <c r="I36" s="27"/>
      <c r="J36" s="27"/>
      <c r="K36" s="48"/>
      <c r="L36" s="48"/>
      <c r="M36" s="48"/>
      <c r="N36" s="47"/>
      <c r="O36" s="47"/>
      <c r="P36" s="47"/>
      <c r="Q36" s="30">
        <f t="shared" si="1"/>
        <v>146.25</v>
      </c>
      <c r="R36" s="2">
        <f t="shared" si="2"/>
        <v>0</v>
      </c>
      <c r="S36" s="31">
        <f t="shared" si="3"/>
        <v>146.25</v>
      </c>
    </row>
    <row r="37">
      <c r="A37" s="32">
        <v>34.0</v>
      </c>
      <c r="B37" s="31" t="s">
        <v>69</v>
      </c>
      <c r="C37" s="11"/>
      <c r="D37" s="11"/>
      <c r="E37" s="49"/>
      <c r="F37" s="49"/>
      <c r="G37" s="49"/>
      <c r="H37" s="50"/>
      <c r="I37" s="50"/>
      <c r="J37" s="50"/>
      <c r="K37" s="52"/>
      <c r="L37" s="52"/>
      <c r="M37" s="52"/>
      <c r="N37" s="53">
        <v>582.0</v>
      </c>
      <c r="O37" s="54"/>
      <c r="P37" s="54"/>
      <c r="Q37" s="30">
        <f t="shared" si="1"/>
        <v>145.5</v>
      </c>
      <c r="R37" s="2">
        <f t="shared" si="2"/>
        <v>0</v>
      </c>
      <c r="S37" s="31">
        <f t="shared" si="3"/>
        <v>145.5</v>
      </c>
    </row>
    <row r="38">
      <c r="A38" s="21">
        <v>35.0</v>
      </c>
      <c r="B38" s="55" t="s">
        <v>70</v>
      </c>
      <c r="C38" s="55" t="s">
        <v>60</v>
      </c>
      <c r="D38" s="57" t="s">
        <v>40</v>
      </c>
      <c r="E38" s="49"/>
      <c r="F38" s="49"/>
      <c r="G38" s="49"/>
      <c r="H38" s="50"/>
      <c r="I38" s="50"/>
      <c r="J38" s="50"/>
      <c r="K38" s="51">
        <v>563.0</v>
      </c>
      <c r="L38" s="52"/>
      <c r="M38" s="52"/>
      <c r="N38" s="54"/>
      <c r="O38" s="54"/>
      <c r="P38" s="54"/>
      <c r="Q38" s="30">
        <f t="shared" si="1"/>
        <v>140.75</v>
      </c>
      <c r="R38" s="2">
        <f t="shared" si="2"/>
        <v>0</v>
      </c>
      <c r="S38" s="31">
        <f t="shared" si="3"/>
        <v>140.75</v>
      </c>
    </row>
    <row r="39">
      <c r="A39" s="32">
        <v>36.0</v>
      </c>
      <c r="B39" s="55" t="s">
        <v>71</v>
      </c>
      <c r="C39" s="55" t="s">
        <v>72</v>
      </c>
      <c r="D39" s="55"/>
      <c r="E39" s="49"/>
      <c r="F39" s="49"/>
      <c r="G39" s="49"/>
      <c r="H39" s="50"/>
      <c r="I39" s="50"/>
      <c r="J39" s="50"/>
      <c r="K39" s="51">
        <v>557.0</v>
      </c>
      <c r="L39" s="52"/>
      <c r="M39" s="52"/>
      <c r="N39" s="54"/>
      <c r="O39" s="54"/>
      <c r="P39" s="54"/>
      <c r="Q39" s="30">
        <f t="shared" si="1"/>
        <v>139.25</v>
      </c>
      <c r="R39" s="2">
        <f t="shared" si="2"/>
        <v>0</v>
      </c>
      <c r="S39" s="31">
        <f t="shared" si="3"/>
        <v>139.25</v>
      </c>
    </row>
    <row r="40">
      <c r="A40" s="21">
        <v>37.0</v>
      </c>
      <c r="B40" s="22" t="s">
        <v>73</v>
      </c>
      <c r="C40" s="22" t="s">
        <v>15</v>
      </c>
      <c r="D40" s="22"/>
      <c r="E40" s="25"/>
      <c r="F40" s="25"/>
      <c r="G40" s="25"/>
      <c r="H40" s="26">
        <v>538.0</v>
      </c>
      <c r="I40" s="27"/>
      <c r="J40" s="27"/>
      <c r="K40" s="48"/>
      <c r="L40" s="48"/>
      <c r="M40" s="48"/>
      <c r="N40" s="47"/>
      <c r="O40" s="47"/>
      <c r="P40" s="47"/>
      <c r="Q40" s="30">
        <f t="shared" si="1"/>
        <v>134.5</v>
      </c>
      <c r="R40" s="2">
        <f t="shared" si="2"/>
        <v>0</v>
      </c>
      <c r="S40" s="31">
        <f t="shared" si="3"/>
        <v>134.5</v>
      </c>
    </row>
    <row r="41">
      <c r="A41" s="32">
        <v>38.0</v>
      </c>
      <c r="B41" s="22" t="s">
        <v>74</v>
      </c>
      <c r="C41" s="22" t="s">
        <v>15</v>
      </c>
      <c r="D41" s="22"/>
      <c r="E41" s="25"/>
      <c r="F41" s="25"/>
      <c r="G41" s="25"/>
      <c r="H41" s="26">
        <v>536.0</v>
      </c>
      <c r="I41" s="27"/>
      <c r="J41" s="27"/>
      <c r="K41" s="48"/>
      <c r="L41" s="48"/>
      <c r="M41" s="48"/>
      <c r="N41" s="47"/>
      <c r="O41" s="47"/>
      <c r="P41" s="47"/>
      <c r="Q41" s="30">
        <f t="shared" si="1"/>
        <v>134</v>
      </c>
      <c r="R41" s="2">
        <f t="shared" si="2"/>
        <v>0</v>
      </c>
      <c r="S41" s="31">
        <f t="shared" si="3"/>
        <v>134</v>
      </c>
    </row>
    <row r="42">
      <c r="A42" s="21">
        <v>39.0</v>
      </c>
      <c r="B42" s="22" t="s">
        <v>75</v>
      </c>
      <c r="C42" s="22" t="s">
        <v>32</v>
      </c>
      <c r="D42" s="22"/>
      <c r="E42" s="25"/>
      <c r="F42" s="25"/>
      <c r="G42" s="25"/>
      <c r="H42" s="26">
        <v>533.0</v>
      </c>
      <c r="I42" s="27"/>
      <c r="J42" s="27"/>
      <c r="K42" s="48"/>
      <c r="L42" s="48"/>
      <c r="M42" s="48"/>
      <c r="N42" s="47"/>
      <c r="O42" s="47"/>
      <c r="P42" s="47"/>
      <c r="Q42" s="30">
        <f t="shared" si="1"/>
        <v>133.25</v>
      </c>
      <c r="R42" s="2">
        <f t="shared" si="2"/>
        <v>0</v>
      </c>
      <c r="S42" s="31">
        <f t="shared" si="3"/>
        <v>133.25</v>
      </c>
    </row>
    <row r="43">
      <c r="A43" s="32">
        <v>40.0</v>
      </c>
      <c r="B43" s="31" t="s">
        <v>76</v>
      </c>
      <c r="C43" s="11"/>
      <c r="D43" s="11"/>
      <c r="E43" s="49"/>
      <c r="F43" s="49"/>
      <c r="G43" s="49"/>
      <c r="H43" s="50"/>
      <c r="I43" s="50"/>
      <c r="J43" s="50"/>
      <c r="K43" s="52"/>
      <c r="L43" s="52"/>
      <c r="M43" s="52"/>
      <c r="N43" s="53">
        <v>530.0</v>
      </c>
      <c r="O43" s="54"/>
      <c r="P43" s="54"/>
      <c r="Q43" s="30">
        <f t="shared" si="1"/>
        <v>132.5</v>
      </c>
      <c r="R43" s="2">
        <f t="shared" si="2"/>
        <v>0</v>
      </c>
      <c r="S43" s="31">
        <f t="shared" si="3"/>
        <v>132.5</v>
      </c>
    </row>
    <row r="44">
      <c r="A44" s="21">
        <v>41.0</v>
      </c>
      <c r="B44" s="31" t="s">
        <v>77</v>
      </c>
      <c r="C44" s="11"/>
      <c r="D44" s="11"/>
      <c r="E44" s="49"/>
      <c r="F44" s="49"/>
      <c r="G44" s="49"/>
      <c r="H44" s="50"/>
      <c r="I44" s="50"/>
      <c r="J44" s="50"/>
      <c r="K44" s="52"/>
      <c r="L44" s="52"/>
      <c r="M44" s="52"/>
      <c r="N44" s="53">
        <v>525.0</v>
      </c>
      <c r="O44" s="54"/>
      <c r="P44" s="54"/>
      <c r="Q44" s="30">
        <f t="shared" si="1"/>
        <v>131.25</v>
      </c>
      <c r="R44" s="2">
        <f t="shared" si="2"/>
        <v>0</v>
      </c>
      <c r="S44" s="31">
        <f t="shared" si="3"/>
        <v>131.25</v>
      </c>
    </row>
    <row r="45">
      <c r="A45" s="32">
        <v>42.0</v>
      </c>
      <c r="B45" s="31" t="s">
        <v>78</v>
      </c>
      <c r="C45" s="31" t="s">
        <v>79</v>
      </c>
      <c r="D45" s="31"/>
      <c r="E45" s="49"/>
      <c r="F45" s="49"/>
      <c r="G45" s="49"/>
      <c r="H45" s="50"/>
      <c r="I45" s="50"/>
      <c r="J45" s="50"/>
      <c r="K45" s="52"/>
      <c r="L45" s="52"/>
      <c r="M45" s="52"/>
      <c r="N45" s="53">
        <v>515.0</v>
      </c>
      <c r="O45" s="54"/>
      <c r="P45" s="54"/>
      <c r="Q45" s="30">
        <f t="shared" si="1"/>
        <v>128.75</v>
      </c>
      <c r="R45" s="2">
        <f t="shared" si="2"/>
        <v>0</v>
      </c>
      <c r="S45" s="31">
        <f t="shared" si="3"/>
        <v>128.75</v>
      </c>
    </row>
    <row r="46">
      <c r="A46" s="21">
        <v>43.0</v>
      </c>
      <c r="B46" s="22" t="s">
        <v>80</v>
      </c>
      <c r="C46" s="22" t="s">
        <v>51</v>
      </c>
      <c r="D46" s="22"/>
      <c r="E46" s="25"/>
      <c r="F46" s="25"/>
      <c r="G46" s="25"/>
      <c r="H46" s="26">
        <v>498.0</v>
      </c>
      <c r="I46" s="27"/>
      <c r="J46" s="27"/>
      <c r="K46" s="48"/>
      <c r="L46" s="48"/>
      <c r="M46" s="48"/>
      <c r="N46" s="47"/>
      <c r="O46" s="47"/>
      <c r="P46" s="47"/>
      <c r="Q46" s="30">
        <f t="shared" si="1"/>
        <v>124.5</v>
      </c>
      <c r="R46" s="2">
        <f t="shared" si="2"/>
        <v>0</v>
      </c>
      <c r="S46" s="31">
        <f t="shared" si="3"/>
        <v>124.5</v>
      </c>
    </row>
    <row r="47">
      <c r="A47" s="32">
        <v>44.0</v>
      </c>
      <c r="B47" s="31" t="s">
        <v>81</v>
      </c>
      <c r="C47" s="22" t="s">
        <v>63</v>
      </c>
      <c r="D47" s="22"/>
      <c r="E47" s="49"/>
      <c r="F47" s="49"/>
      <c r="G47" s="49"/>
      <c r="H47" s="50"/>
      <c r="I47" s="50"/>
      <c r="J47" s="50"/>
      <c r="K47" s="51">
        <v>495.0</v>
      </c>
      <c r="L47" s="52"/>
      <c r="M47" s="52"/>
      <c r="N47" s="54"/>
      <c r="O47" s="54"/>
      <c r="P47" s="54"/>
      <c r="Q47" s="30">
        <f t="shared" si="1"/>
        <v>123.75</v>
      </c>
      <c r="R47" s="2">
        <f t="shared" si="2"/>
        <v>0</v>
      </c>
      <c r="S47" s="31">
        <f t="shared" si="3"/>
        <v>123.75</v>
      </c>
    </row>
    <row r="48">
      <c r="A48" s="21">
        <v>45.0</v>
      </c>
      <c r="B48" s="22" t="s">
        <v>82</v>
      </c>
      <c r="C48" s="22" t="s">
        <v>48</v>
      </c>
      <c r="D48" s="22"/>
      <c r="E48" s="25"/>
      <c r="F48" s="25"/>
      <c r="G48" s="25"/>
      <c r="H48" s="26">
        <v>436.0</v>
      </c>
      <c r="I48" s="27"/>
      <c r="J48" s="27"/>
      <c r="K48" s="48"/>
      <c r="L48" s="48"/>
      <c r="M48" s="48"/>
      <c r="N48" s="47"/>
      <c r="O48" s="47"/>
      <c r="P48" s="47"/>
      <c r="Q48" s="30">
        <f t="shared" si="1"/>
        <v>109</v>
      </c>
      <c r="R48" s="2">
        <f t="shared" si="2"/>
        <v>0</v>
      </c>
      <c r="S48" s="31">
        <f t="shared" si="3"/>
        <v>109</v>
      </c>
    </row>
    <row r="49">
      <c r="A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</sheetData>
  <mergeCells count="4">
    <mergeCell ref="E2:G2"/>
    <mergeCell ref="H2:J2"/>
    <mergeCell ref="K2:M2"/>
    <mergeCell ref="N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3" width="4.13"/>
    <col customWidth="1" min="14" max="14" width="6.0"/>
    <col customWidth="1" min="15" max="16" width="5.25"/>
    <col customWidth="1" min="17" max="17" width="10.63"/>
    <col customWidth="1" min="19" max="19" width="15.63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0"/>
      <c r="R2" s="3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8" t="s">
        <v>2</v>
      </c>
      <c r="L3" s="5"/>
      <c r="M3" s="6"/>
      <c r="N3" s="9" t="s">
        <v>3</v>
      </c>
      <c r="O3" s="5"/>
      <c r="P3" s="6"/>
      <c r="Q3" s="18"/>
      <c r="R3" s="12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58"/>
      <c r="G4" s="14" t="s">
        <v>10</v>
      </c>
      <c r="H4" s="15" t="s">
        <v>9</v>
      </c>
      <c r="I4" s="15" t="s">
        <v>9</v>
      </c>
      <c r="J4" s="15" t="s">
        <v>10</v>
      </c>
      <c r="K4" s="16" t="s">
        <v>8</v>
      </c>
      <c r="L4" s="16" t="s">
        <v>9</v>
      </c>
      <c r="M4" s="16" t="s">
        <v>10</v>
      </c>
      <c r="N4" s="17" t="s">
        <v>8</v>
      </c>
      <c r="O4" s="17" t="s">
        <v>9</v>
      </c>
      <c r="P4" s="17" t="s">
        <v>10</v>
      </c>
      <c r="Q4" s="18" t="s">
        <v>11</v>
      </c>
      <c r="R4" s="19" t="s">
        <v>12</v>
      </c>
      <c r="S4" s="20" t="s">
        <v>13</v>
      </c>
    </row>
    <row r="5">
      <c r="A5" s="21">
        <v>1.0</v>
      </c>
      <c r="B5" s="23" t="s">
        <v>83</v>
      </c>
      <c r="C5" s="23" t="s">
        <v>15</v>
      </c>
      <c r="D5" s="23" t="s">
        <v>16</v>
      </c>
      <c r="E5" s="24">
        <v>639.0</v>
      </c>
      <c r="F5" s="24">
        <v>1.0</v>
      </c>
      <c r="G5" s="43">
        <v>100.0</v>
      </c>
      <c r="H5" s="26">
        <v>621.0</v>
      </c>
      <c r="I5" s="26">
        <v>1.0</v>
      </c>
      <c r="J5" s="44">
        <v>100.0</v>
      </c>
      <c r="K5" s="28">
        <v>644.0</v>
      </c>
      <c r="L5" s="28">
        <v>2.0</v>
      </c>
      <c r="M5" s="28">
        <v>90.0</v>
      </c>
      <c r="N5" s="29">
        <v>636.0</v>
      </c>
      <c r="O5" s="45"/>
      <c r="P5" s="45">
        <v>100.0</v>
      </c>
      <c r="Q5" s="30">
        <f t="shared" ref="Q5:Q42" si="1">(E5+H5+N5+K5)/4</f>
        <v>635</v>
      </c>
      <c r="R5" s="2">
        <f t="shared" ref="R5:R42" si="2">G5+J5+P5+M5</f>
        <v>390</v>
      </c>
      <c r="S5" s="31">
        <f t="shared" ref="S5:S37" si="3">Q5+R5</f>
        <v>1025</v>
      </c>
    </row>
    <row r="6" ht="16.5" customHeight="1">
      <c r="A6" s="32">
        <v>2.0</v>
      </c>
      <c r="B6" s="33" t="s">
        <v>84</v>
      </c>
      <c r="C6" s="59" t="s">
        <v>36</v>
      </c>
      <c r="D6" s="33" t="s">
        <v>21</v>
      </c>
      <c r="E6" s="24">
        <v>635.0</v>
      </c>
      <c r="F6" s="25"/>
      <c r="G6" s="24">
        <v>100.0</v>
      </c>
      <c r="H6" s="26">
        <v>602.0</v>
      </c>
      <c r="I6" s="27"/>
      <c r="J6" s="26">
        <v>100.0</v>
      </c>
      <c r="K6" s="28">
        <v>634.0</v>
      </c>
      <c r="L6" s="28">
        <v>3.0</v>
      </c>
      <c r="M6" s="28">
        <v>80.0</v>
      </c>
      <c r="N6" s="29">
        <v>616.0</v>
      </c>
      <c r="O6" s="29">
        <v>3.0</v>
      </c>
      <c r="P6" s="29">
        <v>80.0</v>
      </c>
      <c r="Q6" s="30">
        <f t="shared" si="1"/>
        <v>621.75</v>
      </c>
      <c r="R6" s="2">
        <f t="shared" si="2"/>
        <v>360</v>
      </c>
      <c r="S6" s="31">
        <f t="shared" si="3"/>
        <v>981.75</v>
      </c>
    </row>
    <row r="7">
      <c r="A7" s="21">
        <v>3.0</v>
      </c>
      <c r="B7" s="23" t="s">
        <v>85</v>
      </c>
      <c r="C7" s="23" t="s">
        <v>18</v>
      </c>
      <c r="D7" s="23" t="s">
        <v>86</v>
      </c>
      <c r="E7" s="24">
        <v>610.0</v>
      </c>
      <c r="F7" s="25"/>
      <c r="G7" s="24">
        <v>100.0</v>
      </c>
      <c r="H7" s="26">
        <v>632.0</v>
      </c>
      <c r="I7" s="27"/>
      <c r="J7" s="26">
        <v>100.0</v>
      </c>
      <c r="K7" s="28">
        <v>627.0</v>
      </c>
      <c r="L7" s="28">
        <v>6.0</v>
      </c>
      <c r="M7" s="28">
        <v>50.0</v>
      </c>
      <c r="N7" s="29">
        <v>629.0</v>
      </c>
      <c r="O7" s="29"/>
      <c r="P7" s="29">
        <v>100.0</v>
      </c>
      <c r="Q7" s="30">
        <f t="shared" si="1"/>
        <v>624.5</v>
      </c>
      <c r="R7" s="2">
        <f t="shared" si="2"/>
        <v>350</v>
      </c>
      <c r="S7" s="31">
        <f t="shared" si="3"/>
        <v>974.5</v>
      </c>
    </row>
    <row r="8">
      <c r="A8" s="32">
        <v>4.0</v>
      </c>
      <c r="B8" s="22" t="s">
        <v>87</v>
      </c>
      <c r="C8" s="23" t="s">
        <v>36</v>
      </c>
      <c r="D8" s="23" t="s">
        <v>21</v>
      </c>
      <c r="E8" s="24">
        <v>641.0</v>
      </c>
      <c r="F8" s="25"/>
      <c r="G8" s="24">
        <v>100.0</v>
      </c>
      <c r="H8" s="26">
        <v>640.0</v>
      </c>
      <c r="I8" s="27"/>
      <c r="J8" s="26">
        <v>100.0</v>
      </c>
      <c r="K8" s="28">
        <v>610.0</v>
      </c>
      <c r="L8" s="28"/>
      <c r="M8" s="28"/>
      <c r="N8" s="29">
        <v>635.0</v>
      </c>
      <c r="O8" s="47"/>
      <c r="P8" s="29">
        <v>100.0</v>
      </c>
      <c r="Q8" s="30">
        <f t="shared" si="1"/>
        <v>631.5</v>
      </c>
      <c r="R8" s="2">
        <f t="shared" si="2"/>
        <v>300</v>
      </c>
      <c r="S8" s="31">
        <f t="shared" si="3"/>
        <v>931.5</v>
      </c>
    </row>
    <row r="9">
      <c r="A9" s="21">
        <v>5.0</v>
      </c>
      <c r="B9" s="23" t="s">
        <v>88</v>
      </c>
      <c r="C9" s="23" t="s">
        <v>15</v>
      </c>
      <c r="D9" s="23" t="s">
        <v>34</v>
      </c>
      <c r="E9" s="24">
        <v>629.0</v>
      </c>
      <c r="F9" s="24">
        <v>4.0</v>
      </c>
      <c r="G9" s="43">
        <v>70.0</v>
      </c>
      <c r="H9" s="26">
        <v>618.0</v>
      </c>
      <c r="I9" s="26">
        <v>8.0</v>
      </c>
      <c r="J9" s="44">
        <v>30.0</v>
      </c>
      <c r="K9" s="28">
        <v>619.0</v>
      </c>
      <c r="L9" s="28">
        <v>5.0</v>
      </c>
      <c r="M9" s="28">
        <v>60.0</v>
      </c>
      <c r="N9" s="29">
        <v>633.0</v>
      </c>
      <c r="O9" s="45">
        <v>4.0</v>
      </c>
      <c r="P9" s="45">
        <v>70.0</v>
      </c>
      <c r="Q9" s="30">
        <f t="shared" si="1"/>
        <v>624.75</v>
      </c>
      <c r="R9" s="2">
        <f t="shared" si="2"/>
        <v>230</v>
      </c>
      <c r="S9" s="31">
        <f t="shared" si="3"/>
        <v>854.75</v>
      </c>
    </row>
    <row r="10">
      <c r="A10" s="32">
        <v>6.0</v>
      </c>
      <c r="B10" s="23" t="s">
        <v>89</v>
      </c>
      <c r="C10" s="23" t="s">
        <v>15</v>
      </c>
      <c r="D10" s="23" t="s">
        <v>40</v>
      </c>
      <c r="E10" s="24">
        <v>580.0</v>
      </c>
      <c r="F10" s="25"/>
      <c r="G10" s="24">
        <v>100.0</v>
      </c>
      <c r="H10" s="26">
        <v>611.0</v>
      </c>
      <c r="I10" s="26">
        <v>5.0</v>
      </c>
      <c r="J10" s="26">
        <v>60.0</v>
      </c>
      <c r="K10" s="16">
        <v>606.0</v>
      </c>
      <c r="L10" s="16"/>
      <c r="M10" s="16"/>
      <c r="N10" s="45">
        <v>587.0</v>
      </c>
      <c r="O10" s="29">
        <v>2.0</v>
      </c>
      <c r="P10" s="29">
        <v>90.0</v>
      </c>
      <c r="Q10" s="30">
        <f t="shared" si="1"/>
        <v>596</v>
      </c>
      <c r="R10" s="2">
        <f t="shared" si="2"/>
        <v>250</v>
      </c>
      <c r="S10" s="31">
        <f t="shared" si="3"/>
        <v>846</v>
      </c>
    </row>
    <row r="11">
      <c r="A11" s="32">
        <v>8.0</v>
      </c>
      <c r="B11" s="23" t="s">
        <v>90</v>
      </c>
      <c r="C11" s="23" t="s">
        <v>15</v>
      </c>
      <c r="D11" s="23" t="s">
        <v>40</v>
      </c>
      <c r="E11" s="24">
        <v>596.0</v>
      </c>
      <c r="F11" s="24">
        <v>1.0</v>
      </c>
      <c r="G11" s="43">
        <v>70.0</v>
      </c>
      <c r="H11" s="44">
        <v>598.0</v>
      </c>
      <c r="I11" s="60">
        <v>1.0</v>
      </c>
      <c r="J11" s="60">
        <v>70.0</v>
      </c>
      <c r="K11" s="28">
        <v>610.0</v>
      </c>
      <c r="L11" s="28"/>
      <c r="M11" s="28"/>
      <c r="N11" s="29">
        <v>609.0</v>
      </c>
      <c r="O11" s="45">
        <v>1.0</v>
      </c>
      <c r="P11" s="45">
        <v>70.0</v>
      </c>
      <c r="Q11" s="30">
        <f t="shared" si="1"/>
        <v>603.25</v>
      </c>
      <c r="R11" s="61">
        <f t="shared" si="2"/>
        <v>210</v>
      </c>
      <c r="S11" s="62">
        <f t="shared" si="3"/>
        <v>813.25</v>
      </c>
    </row>
    <row r="12">
      <c r="A12" s="21">
        <v>7.0</v>
      </c>
      <c r="B12" s="23" t="s">
        <v>91</v>
      </c>
      <c r="C12" s="23" t="s">
        <v>18</v>
      </c>
      <c r="D12" s="23" t="s">
        <v>40</v>
      </c>
      <c r="E12" s="24">
        <v>611.0</v>
      </c>
      <c r="F12" s="24">
        <v>3.0</v>
      </c>
      <c r="G12" s="43">
        <v>80.0</v>
      </c>
      <c r="H12" s="26">
        <v>617.0</v>
      </c>
      <c r="I12" s="26">
        <v>4.0</v>
      </c>
      <c r="J12" s="44">
        <v>70.0</v>
      </c>
      <c r="K12" s="16">
        <v>623.0</v>
      </c>
      <c r="L12" s="16"/>
      <c r="M12" s="16"/>
      <c r="N12" s="29">
        <v>595.0</v>
      </c>
      <c r="O12" s="45">
        <v>7.0</v>
      </c>
      <c r="P12" s="45">
        <v>40.0</v>
      </c>
      <c r="Q12" s="30">
        <f t="shared" si="1"/>
        <v>611.5</v>
      </c>
      <c r="R12" s="2">
        <f t="shared" si="2"/>
        <v>190</v>
      </c>
      <c r="S12" s="31">
        <f t="shared" si="3"/>
        <v>801.5</v>
      </c>
    </row>
    <row r="13">
      <c r="A13" s="21">
        <v>9.0</v>
      </c>
      <c r="B13" s="23" t="s">
        <v>92</v>
      </c>
      <c r="C13" s="23" t="s">
        <v>15</v>
      </c>
      <c r="D13" s="23" t="s">
        <v>34</v>
      </c>
      <c r="E13" s="24">
        <v>602.0</v>
      </c>
      <c r="F13" s="25"/>
      <c r="G13" s="14"/>
      <c r="H13" s="44">
        <v>616.0</v>
      </c>
      <c r="I13" s="26">
        <v>7.0</v>
      </c>
      <c r="J13" s="26">
        <v>40.0</v>
      </c>
      <c r="K13" s="28">
        <v>614.0</v>
      </c>
      <c r="L13" s="28">
        <v>7.0</v>
      </c>
      <c r="M13" s="28">
        <v>40.0</v>
      </c>
      <c r="N13" s="29">
        <v>597.0</v>
      </c>
      <c r="O13" s="45">
        <v>5.0</v>
      </c>
      <c r="P13" s="45">
        <v>60.0</v>
      </c>
      <c r="Q13" s="30">
        <f t="shared" si="1"/>
        <v>607.25</v>
      </c>
      <c r="R13" s="2">
        <f t="shared" si="2"/>
        <v>140</v>
      </c>
      <c r="S13" s="31">
        <f t="shared" si="3"/>
        <v>747.25</v>
      </c>
    </row>
    <row r="14">
      <c r="A14" s="32">
        <v>10.0</v>
      </c>
      <c r="B14" s="23" t="s">
        <v>93</v>
      </c>
      <c r="C14" s="23" t="s">
        <v>32</v>
      </c>
      <c r="D14" s="23" t="s">
        <v>21</v>
      </c>
      <c r="E14" s="24">
        <v>625.0</v>
      </c>
      <c r="F14" s="24">
        <v>8.0</v>
      </c>
      <c r="G14" s="43">
        <v>30.0</v>
      </c>
      <c r="H14" s="15"/>
      <c r="I14" s="27"/>
      <c r="J14" s="27"/>
      <c r="K14" s="28">
        <v>638.0</v>
      </c>
      <c r="L14" s="28">
        <v>1.0</v>
      </c>
      <c r="M14" s="28">
        <v>100.0</v>
      </c>
      <c r="N14" s="29">
        <v>593.0</v>
      </c>
      <c r="O14" s="45">
        <v>1.0</v>
      </c>
      <c r="P14" s="45">
        <v>100.0</v>
      </c>
      <c r="Q14" s="30">
        <f t="shared" si="1"/>
        <v>464</v>
      </c>
      <c r="R14" s="2">
        <f t="shared" si="2"/>
        <v>230</v>
      </c>
      <c r="S14" s="31">
        <f t="shared" si="3"/>
        <v>694</v>
      </c>
    </row>
    <row r="15">
      <c r="A15" s="21">
        <v>11.0</v>
      </c>
      <c r="B15" s="23" t="s">
        <v>90</v>
      </c>
      <c r="C15" s="23" t="s">
        <v>15</v>
      </c>
      <c r="D15" s="23" t="s">
        <v>34</v>
      </c>
      <c r="E15" s="24">
        <v>596.0</v>
      </c>
      <c r="F15" s="24">
        <v>1.0</v>
      </c>
      <c r="G15" s="43">
        <v>70.0</v>
      </c>
      <c r="H15" s="44">
        <v>598.0</v>
      </c>
      <c r="I15" s="60">
        <v>1.0</v>
      </c>
      <c r="J15" s="60">
        <v>70.0</v>
      </c>
      <c r="K15" s="16">
        <v>610.0</v>
      </c>
      <c r="L15" s="16"/>
      <c r="M15" s="16"/>
      <c r="N15" s="29"/>
      <c r="O15" s="17"/>
      <c r="P15" s="17"/>
      <c r="Q15" s="30">
        <f t="shared" si="1"/>
        <v>451</v>
      </c>
      <c r="R15" s="2">
        <f t="shared" si="2"/>
        <v>140</v>
      </c>
      <c r="S15" s="31">
        <f t="shared" si="3"/>
        <v>591</v>
      </c>
    </row>
    <row r="16">
      <c r="A16" s="32">
        <v>12.0</v>
      </c>
      <c r="B16" s="23" t="s">
        <v>94</v>
      </c>
      <c r="C16" s="23" t="s">
        <v>18</v>
      </c>
      <c r="D16" s="23" t="s">
        <v>40</v>
      </c>
      <c r="E16" s="24">
        <v>518.0</v>
      </c>
      <c r="F16" s="25"/>
      <c r="G16" s="25"/>
      <c r="H16" s="26">
        <v>570.0</v>
      </c>
      <c r="I16" s="27"/>
      <c r="J16" s="27"/>
      <c r="K16" s="28">
        <v>539.0</v>
      </c>
      <c r="L16" s="28"/>
      <c r="M16" s="28"/>
      <c r="N16" s="29">
        <v>545.0</v>
      </c>
      <c r="O16" s="29">
        <v>8.0</v>
      </c>
      <c r="P16" s="29">
        <v>30.0</v>
      </c>
      <c r="Q16" s="30">
        <f t="shared" si="1"/>
        <v>543</v>
      </c>
      <c r="R16" s="2">
        <f t="shared" si="2"/>
        <v>30</v>
      </c>
      <c r="S16" s="31">
        <f t="shared" si="3"/>
        <v>573</v>
      </c>
    </row>
    <row r="17">
      <c r="A17" s="21">
        <v>13.0</v>
      </c>
      <c r="B17" s="23" t="s">
        <v>95</v>
      </c>
      <c r="C17" s="23" t="s">
        <v>36</v>
      </c>
      <c r="D17" s="23" t="s">
        <v>21</v>
      </c>
      <c r="E17" s="24">
        <v>601.0</v>
      </c>
      <c r="F17" s="24">
        <v>2.0</v>
      </c>
      <c r="G17" s="43">
        <v>90.0</v>
      </c>
      <c r="H17" s="44">
        <v>595.0</v>
      </c>
      <c r="I17" s="27"/>
      <c r="J17" s="27"/>
      <c r="K17" s="16">
        <v>619.0</v>
      </c>
      <c r="L17" s="46"/>
      <c r="M17" s="46"/>
      <c r="N17" s="29"/>
      <c r="O17" s="17"/>
      <c r="P17" s="17"/>
      <c r="Q17" s="30">
        <f t="shared" si="1"/>
        <v>453.75</v>
      </c>
      <c r="R17" s="2">
        <f t="shared" si="2"/>
        <v>90</v>
      </c>
      <c r="S17" s="31">
        <f t="shared" si="3"/>
        <v>543.75</v>
      </c>
    </row>
    <row r="18">
      <c r="A18" s="32">
        <v>14.0</v>
      </c>
      <c r="B18" s="23" t="s">
        <v>96</v>
      </c>
      <c r="C18" s="23" t="s">
        <v>67</v>
      </c>
      <c r="D18" s="23"/>
      <c r="E18" s="24">
        <v>568.0</v>
      </c>
      <c r="F18" s="24">
        <v>5.0</v>
      </c>
      <c r="G18" s="24">
        <v>60.0</v>
      </c>
      <c r="H18" s="26">
        <v>604.0</v>
      </c>
      <c r="I18" s="26">
        <v>2.0</v>
      </c>
      <c r="J18" s="26">
        <v>90.0</v>
      </c>
      <c r="K18" s="28"/>
      <c r="L18" s="28"/>
      <c r="M18" s="28"/>
      <c r="N18" s="47"/>
      <c r="O18" s="17"/>
      <c r="P18" s="17"/>
      <c r="Q18" s="30">
        <f t="shared" si="1"/>
        <v>293</v>
      </c>
      <c r="R18" s="2">
        <f t="shared" si="2"/>
        <v>150</v>
      </c>
      <c r="S18" s="31">
        <f t="shared" si="3"/>
        <v>443</v>
      </c>
    </row>
    <row r="19">
      <c r="A19" s="21">
        <v>15.0</v>
      </c>
      <c r="B19" s="23" t="s">
        <v>97</v>
      </c>
      <c r="C19" s="23" t="s">
        <v>15</v>
      </c>
      <c r="D19" s="23"/>
      <c r="E19" s="24">
        <v>532.0</v>
      </c>
      <c r="F19" s="24">
        <v>6.0</v>
      </c>
      <c r="G19" s="24">
        <v>50.0</v>
      </c>
      <c r="H19" s="26">
        <v>588.0</v>
      </c>
      <c r="I19" s="27"/>
      <c r="J19" s="15"/>
      <c r="K19" s="16">
        <v>442.0</v>
      </c>
      <c r="L19" s="46"/>
      <c r="M19" s="46"/>
      <c r="N19" s="29"/>
      <c r="O19" s="47"/>
      <c r="P19" s="47"/>
      <c r="Q19" s="30">
        <f t="shared" si="1"/>
        <v>390.5</v>
      </c>
      <c r="R19" s="2">
        <f t="shared" si="2"/>
        <v>50</v>
      </c>
      <c r="S19" s="31">
        <f t="shared" si="3"/>
        <v>440.5</v>
      </c>
    </row>
    <row r="20">
      <c r="A20" s="32">
        <v>16.0</v>
      </c>
      <c r="B20" s="23" t="s">
        <v>98</v>
      </c>
      <c r="C20" s="23" t="s">
        <v>67</v>
      </c>
      <c r="D20" s="23"/>
      <c r="E20" s="24">
        <v>531.0</v>
      </c>
      <c r="F20" s="25"/>
      <c r="G20" s="25"/>
      <c r="H20" s="26">
        <v>615.0</v>
      </c>
      <c r="I20" s="26">
        <v>3.0</v>
      </c>
      <c r="J20" s="44">
        <v>80.0</v>
      </c>
      <c r="K20" s="16"/>
      <c r="L20" s="46"/>
      <c r="M20" s="46"/>
      <c r="N20" s="47"/>
      <c r="O20" s="47"/>
      <c r="P20" s="47"/>
      <c r="Q20" s="30">
        <f t="shared" si="1"/>
        <v>286.5</v>
      </c>
      <c r="R20" s="2">
        <f t="shared" si="2"/>
        <v>80</v>
      </c>
      <c r="S20" s="31">
        <f t="shared" si="3"/>
        <v>366.5</v>
      </c>
    </row>
    <row r="21">
      <c r="A21" s="63">
        <v>17.0</v>
      </c>
      <c r="B21" s="64" t="s">
        <v>99</v>
      </c>
      <c r="C21" s="64" t="s">
        <v>100</v>
      </c>
      <c r="D21" s="65" t="s">
        <v>40</v>
      </c>
      <c r="E21" s="66"/>
      <c r="F21" s="66"/>
      <c r="G21" s="66"/>
      <c r="H21" s="66"/>
      <c r="I21" s="66"/>
      <c r="J21" s="66"/>
      <c r="K21" s="67">
        <v>547.0</v>
      </c>
      <c r="L21" s="66"/>
      <c r="M21" s="66"/>
      <c r="N21" s="67">
        <v>484.0</v>
      </c>
      <c r="O21" s="67">
        <v>6.0</v>
      </c>
      <c r="P21" s="67">
        <v>50.0</v>
      </c>
      <c r="Q21" s="68">
        <f t="shared" si="1"/>
        <v>257.75</v>
      </c>
      <c r="R21" s="68">
        <f t="shared" si="2"/>
        <v>50</v>
      </c>
      <c r="S21" s="64">
        <f t="shared" si="3"/>
        <v>307.75</v>
      </c>
    </row>
    <row r="22">
      <c r="A22" s="32">
        <v>18.0</v>
      </c>
      <c r="B22" s="23" t="s">
        <v>101</v>
      </c>
      <c r="C22" s="23" t="s">
        <v>15</v>
      </c>
      <c r="D22" s="23" t="s">
        <v>34</v>
      </c>
      <c r="E22" s="24">
        <v>585.0</v>
      </c>
      <c r="F22" s="25"/>
      <c r="G22" s="14"/>
      <c r="H22" s="44">
        <v>579.0</v>
      </c>
      <c r="I22" s="27"/>
      <c r="J22" s="27"/>
      <c r="K22" s="28"/>
      <c r="L22" s="48"/>
      <c r="M22" s="48"/>
      <c r="N22" s="47"/>
      <c r="O22" s="47"/>
      <c r="P22" s="47"/>
      <c r="Q22" s="30">
        <f t="shared" si="1"/>
        <v>291</v>
      </c>
      <c r="R22" s="2">
        <f t="shared" si="2"/>
        <v>0</v>
      </c>
      <c r="S22" s="31">
        <f t="shared" si="3"/>
        <v>291</v>
      </c>
    </row>
    <row r="23">
      <c r="A23" s="21">
        <v>19.0</v>
      </c>
      <c r="B23" s="23" t="s">
        <v>102</v>
      </c>
      <c r="C23" s="23" t="s">
        <v>18</v>
      </c>
      <c r="D23" s="23"/>
      <c r="E23" s="24">
        <v>556.0</v>
      </c>
      <c r="F23" s="25"/>
      <c r="G23" s="25"/>
      <c r="H23" s="26">
        <v>525.0</v>
      </c>
      <c r="I23" s="27"/>
      <c r="J23" s="15"/>
      <c r="K23" s="48"/>
      <c r="L23" s="48"/>
      <c r="M23" s="48"/>
      <c r="N23" s="47"/>
      <c r="O23" s="47"/>
      <c r="P23" s="47"/>
      <c r="Q23" s="30">
        <f t="shared" si="1"/>
        <v>270.25</v>
      </c>
      <c r="R23" s="2">
        <f t="shared" si="2"/>
        <v>0</v>
      </c>
      <c r="S23" s="31">
        <f t="shared" si="3"/>
        <v>270.25</v>
      </c>
    </row>
    <row r="24">
      <c r="A24" s="32">
        <v>20.0</v>
      </c>
      <c r="B24" s="31" t="s">
        <v>103</v>
      </c>
      <c r="C24" s="22" t="s">
        <v>32</v>
      </c>
      <c r="D24" s="22"/>
      <c r="E24" s="49"/>
      <c r="F24" s="49"/>
      <c r="G24" s="49"/>
      <c r="H24" s="50"/>
      <c r="I24" s="50"/>
      <c r="J24" s="50"/>
      <c r="K24" s="51">
        <v>527.0</v>
      </c>
      <c r="L24" s="52"/>
      <c r="M24" s="52"/>
      <c r="N24" s="53">
        <v>546.0</v>
      </c>
      <c r="O24" s="54"/>
      <c r="P24" s="54"/>
      <c r="Q24" s="30">
        <f t="shared" si="1"/>
        <v>268.25</v>
      </c>
      <c r="R24" s="2">
        <f t="shared" si="2"/>
        <v>0</v>
      </c>
      <c r="S24" s="31">
        <f t="shared" si="3"/>
        <v>268.25</v>
      </c>
    </row>
    <row r="25">
      <c r="A25" s="21">
        <v>21.0</v>
      </c>
      <c r="B25" s="23" t="s">
        <v>104</v>
      </c>
      <c r="C25" s="23" t="s">
        <v>18</v>
      </c>
      <c r="D25" s="23"/>
      <c r="E25" s="24">
        <v>466.0</v>
      </c>
      <c r="F25" s="25"/>
      <c r="G25" s="25"/>
      <c r="H25" s="26">
        <v>480.0</v>
      </c>
      <c r="I25" s="27"/>
      <c r="J25" s="15"/>
      <c r="K25" s="28"/>
      <c r="L25" s="48"/>
      <c r="M25" s="48"/>
      <c r="N25" s="47"/>
      <c r="O25" s="47"/>
      <c r="P25" s="47"/>
      <c r="Q25" s="30">
        <f t="shared" si="1"/>
        <v>236.5</v>
      </c>
      <c r="R25" s="2">
        <f t="shared" si="2"/>
        <v>0</v>
      </c>
      <c r="S25" s="31">
        <f t="shared" si="3"/>
        <v>236.5</v>
      </c>
    </row>
    <row r="26">
      <c r="A26" s="32">
        <v>22.0</v>
      </c>
      <c r="B26" s="23" t="s">
        <v>105</v>
      </c>
      <c r="C26" s="23" t="s">
        <v>67</v>
      </c>
      <c r="D26" s="23"/>
      <c r="E26" s="25"/>
      <c r="F26" s="25"/>
      <c r="G26" s="25"/>
      <c r="H26" s="26">
        <v>597.0</v>
      </c>
      <c r="I26" s="26">
        <v>6.0</v>
      </c>
      <c r="J26" s="26">
        <v>50.0</v>
      </c>
      <c r="K26" s="16"/>
      <c r="L26" s="46"/>
      <c r="M26" s="46"/>
      <c r="N26" s="47"/>
      <c r="O26" s="47"/>
      <c r="P26" s="47"/>
      <c r="Q26" s="30">
        <f t="shared" si="1"/>
        <v>149.25</v>
      </c>
      <c r="R26" s="2">
        <f t="shared" si="2"/>
        <v>50</v>
      </c>
      <c r="S26" s="31">
        <f t="shared" si="3"/>
        <v>199.25</v>
      </c>
    </row>
    <row r="27">
      <c r="A27" s="21">
        <v>23.0</v>
      </c>
      <c r="B27" s="23" t="s">
        <v>106</v>
      </c>
      <c r="C27" s="23" t="s">
        <v>18</v>
      </c>
      <c r="D27" s="23"/>
      <c r="E27" s="24">
        <v>592.0</v>
      </c>
      <c r="F27" s="24">
        <v>7.0</v>
      </c>
      <c r="G27" s="43">
        <v>40.0</v>
      </c>
      <c r="H27" s="27"/>
      <c r="I27" s="27"/>
      <c r="J27" s="27"/>
      <c r="K27" s="28"/>
      <c r="L27" s="48"/>
      <c r="M27" s="48"/>
      <c r="N27" s="47"/>
      <c r="O27" s="17"/>
      <c r="P27" s="17"/>
      <c r="Q27" s="30">
        <f t="shared" si="1"/>
        <v>148</v>
      </c>
      <c r="R27" s="2">
        <f t="shared" si="2"/>
        <v>40</v>
      </c>
      <c r="S27" s="31">
        <f t="shared" si="3"/>
        <v>188</v>
      </c>
    </row>
    <row r="28">
      <c r="A28" s="32">
        <v>24.0</v>
      </c>
      <c r="B28" s="23" t="s">
        <v>107</v>
      </c>
      <c r="C28" s="23" t="s">
        <v>18</v>
      </c>
      <c r="D28" s="23"/>
      <c r="E28" s="24">
        <v>553.0</v>
      </c>
      <c r="F28" s="25"/>
      <c r="G28" s="25"/>
      <c r="H28" s="27"/>
      <c r="I28" s="27"/>
      <c r="J28" s="15"/>
      <c r="K28" s="48"/>
      <c r="L28" s="48"/>
      <c r="M28" s="48"/>
      <c r="N28" s="47"/>
      <c r="O28" s="47"/>
      <c r="P28" s="47"/>
      <c r="Q28" s="30">
        <f t="shared" si="1"/>
        <v>138.25</v>
      </c>
      <c r="R28" s="2">
        <f t="shared" si="2"/>
        <v>0</v>
      </c>
      <c r="S28" s="31">
        <f t="shared" si="3"/>
        <v>138.25</v>
      </c>
    </row>
    <row r="29">
      <c r="A29" s="21">
        <v>25.0</v>
      </c>
      <c r="B29" s="31" t="s">
        <v>108</v>
      </c>
      <c r="C29" s="31" t="s">
        <v>109</v>
      </c>
      <c r="D29" s="31"/>
      <c r="E29" s="49"/>
      <c r="F29" s="49"/>
      <c r="G29" s="49"/>
      <c r="H29" s="50"/>
      <c r="I29" s="50"/>
      <c r="J29" s="50"/>
      <c r="K29" s="48"/>
      <c r="L29" s="48"/>
      <c r="M29" s="48"/>
      <c r="N29" s="53">
        <v>518.0</v>
      </c>
      <c r="O29" s="54"/>
      <c r="P29" s="54"/>
      <c r="Q29" s="30">
        <f t="shared" si="1"/>
        <v>129.5</v>
      </c>
      <c r="R29" s="2">
        <f t="shared" si="2"/>
        <v>0</v>
      </c>
      <c r="S29" s="31">
        <f t="shared" si="3"/>
        <v>129.5</v>
      </c>
    </row>
    <row r="30">
      <c r="A30" s="32">
        <v>26.0</v>
      </c>
      <c r="B30" s="22" t="s">
        <v>110</v>
      </c>
      <c r="C30" s="22" t="s">
        <v>48</v>
      </c>
      <c r="D30" s="22"/>
      <c r="E30" s="25"/>
      <c r="F30" s="25"/>
      <c r="G30" s="25"/>
      <c r="H30" s="26">
        <v>478.0</v>
      </c>
      <c r="I30" s="27"/>
      <c r="J30" s="27"/>
      <c r="K30" s="48"/>
      <c r="L30" s="48"/>
      <c r="M30" s="48"/>
      <c r="N30" s="47"/>
      <c r="O30" s="47"/>
      <c r="P30" s="47"/>
      <c r="Q30" s="30">
        <f t="shared" si="1"/>
        <v>119.5</v>
      </c>
      <c r="R30" s="2">
        <f t="shared" si="2"/>
        <v>0</v>
      </c>
      <c r="S30" s="31">
        <f t="shared" si="3"/>
        <v>119.5</v>
      </c>
    </row>
    <row r="31">
      <c r="A31" s="21">
        <v>27.0</v>
      </c>
      <c r="B31" s="31" t="s">
        <v>111</v>
      </c>
      <c r="C31" s="31" t="s">
        <v>32</v>
      </c>
      <c r="D31" s="31"/>
      <c r="E31" s="49"/>
      <c r="F31" s="49"/>
      <c r="G31" s="49"/>
      <c r="H31" s="50"/>
      <c r="I31" s="50"/>
      <c r="J31" s="50"/>
      <c r="K31" s="28"/>
      <c r="L31" s="48"/>
      <c r="M31" s="48"/>
      <c r="N31" s="53">
        <v>476.0</v>
      </c>
      <c r="O31" s="54"/>
      <c r="P31" s="54"/>
      <c r="Q31" s="30">
        <f t="shared" si="1"/>
        <v>119</v>
      </c>
      <c r="R31" s="2">
        <f t="shared" si="2"/>
        <v>0</v>
      </c>
      <c r="S31" s="31">
        <f t="shared" si="3"/>
        <v>119</v>
      </c>
    </row>
    <row r="32">
      <c r="A32" s="32">
        <v>28.0</v>
      </c>
      <c r="B32" s="31" t="s">
        <v>112</v>
      </c>
      <c r="C32" s="31" t="s">
        <v>32</v>
      </c>
      <c r="D32" s="31"/>
      <c r="E32" s="49"/>
      <c r="F32" s="49"/>
      <c r="G32" s="49"/>
      <c r="H32" s="50"/>
      <c r="I32" s="50"/>
      <c r="J32" s="50"/>
      <c r="K32" s="56"/>
      <c r="L32" s="56"/>
      <c r="M32" s="56"/>
      <c r="N32" s="53">
        <v>463.0</v>
      </c>
      <c r="O32" s="54"/>
      <c r="P32" s="54"/>
      <c r="Q32" s="30">
        <f t="shared" si="1"/>
        <v>115.75</v>
      </c>
      <c r="R32" s="2">
        <f t="shared" si="2"/>
        <v>0</v>
      </c>
      <c r="S32" s="31">
        <f t="shared" si="3"/>
        <v>115.75</v>
      </c>
    </row>
    <row r="33">
      <c r="A33" s="21">
        <v>29.0</v>
      </c>
      <c r="B33" s="22" t="s">
        <v>113</v>
      </c>
      <c r="C33" s="22" t="s">
        <v>67</v>
      </c>
      <c r="D33" s="22"/>
      <c r="E33" s="25"/>
      <c r="F33" s="25"/>
      <c r="G33" s="25"/>
      <c r="H33" s="26">
        <v>460.0</v>
      </c>
      <c r="I33" s="27"/>
      <c r="J33" s="27"/>
      <c r="K33" s="28"/>
      <c r="L33" s="28"/>
      <c r="M33" s="28"/>
      <c r="N33" s="47"/>
      <c r="O33" s="47"/>
      <c r="P33" s="47"/>
      <c r="Q33" s="30">
        <f t="shared" si="1"/>
        <v>115</v>
      </c>
      <c r="R33" s="2">
        <f t="shared" si="2"/>
        <v>0</v>
      </c>
      <c r="S33" s="31">
        <f t="shared" si="3"/>
        <v>115</v>
      </c>
    </row>
    <row r="34">
      <c r="A34" s="32">
        <v>30.0</v>
      </c>
      <c r="B34" s="22" t="s">
        <v>114</v>
      </c>
      <c r="C34" s="22" t="s">
        <v>32</v>
      </c>
      <c r="D34" s="22"/>
      <c r="E34" s="25"/>
      <c r="F34" s="25"/>
      <c r="G34" s="25"/>
      <c r="H34" s="26">
        <v>396.0</v>
      </c>
      <c r="I34" s="27"/>
      <c r="J34" s="27"/>
      <c r="K34" s="48"/>
      <c r="L34" s="52"/>
      <c r="M34" s="52"/>
      <c r="N34" s="47"/>
      <c r="O34" s="47"/>
      <c r="P34" s="47"/>
      <c r="Q34" s="30">
        <f t="shared" si="1"/>
        <v>99</v>
      </c>
      <c r="R34" s="2">
        <f t="shared" si="2"/>
        <v>0</v>
      </c>
      <c r="S34" s="31">
        <f t="shared" si="3"/>
        <v>99</v>
      </c>
    </row>
    <row r="35">
      <c r="A35" s="21">
        <v>31.0</v>
      </c>
      <c r="B35" s="22" t="s">
        <v>115</v>
      </c>
      <c r="C35" s="22" t="s">
        <v>36</v>
      </c>
      <c r="D35" s="22"/>
      <c r="E35" s="24">
        <v>391.0</v>
      </c>
      <c r="F35" s="25"/>
      <c r="G35" s="25"/>
      <c r="H35" s="27"/>
      <c r="I35" s="27"/>
      <c r="J35" s="27"/>
      <c r="K35" s="56"/>
      <c r="L35" s="52"/>
      <c r="M35" s="52"/>
      <c r="N35" s="47"/>
      <c r="O35" s="47"/>
      <c r="P35" s="47"/>
      <c r="Q35" s="30">
        <f t="shared" si="1"/>
        <v>97.75</v>
      </c>
      <c r="R35" s="2">
        <f t="shared" si="2"/>
        <v>0</v>
      </c>
      <c r="S35" s="31">
        <f t="shared" si="3"/>
        <v>97.75</v>
      </c>
    </row>
    <row r="36">
      <c r="A36" s="32">
        <v>32.0</v>
      </c>
      <c r="B36" s="69" t="s">
        <v>116</v>
      </c>
      <c r="C36" s="69" t="s">
        <v>32</v>
      </c>
      <c r="D36" s="69"/>
      <c r="E36" s="70"/>
      <c r="F36" s="70"/>
      <c r="G36" s="70"/>
      <c r="H36" s="36">
        <v>342.0</v>
      </c>
      <c r="I36" s="71"/>
      <c r="J36" s="71"/>
      <c r="K36" s="72"/>
      <c r="L36" s="72"/>
      <c r="M36" s="72"/>
      <c r="N36" s="73"/>
      <c r="O36" s="73"/>
      <c r="P36" s="73"/>
      <c r="Q36" s="30">
        <f t="shared" si="1"/>
        <v>85.5</v>
      </c>
      <c r="R36" s="2">
        <f t="shared" si="2"/>
        <v>0</v>
      </c>
      <c r="S36" s="42">
        <f t="shared" si="3"/>
        <v>85.5</v>
      </c>
    </row>
    <row r="37">
      <c r="A37" s="21">
        <v>33.0</v>
      </c>
      <c r="B37" s="42" t="s">
        <v>117</v>
      </c>
      <c r="C37" s="42" t="s">
        <v>32</v>
      </c>
      <c r="D37" s="42"/>
      <c r="E37" s="74"/>
      <c r="F37" s="74"/>
      <c r="G37" s="74"/>
      <c r="H37" s="75"/>
      <c r="I37" s="75"/>
      <c r="J37" s="75"/>
      <c r="K37" s="76"/>
      <c r="L37" s="76"/>
      <c r="M37" s="76"/>
      <c r="N37" s="77">
        <v>194.0</v>
      </c>
      <c r="O37" s="78"/>
      <c r="P37" s="78"/>
      <c r="Q37" s="30">
        <f t="shared" si="1"/>
        <v>48.5</v>
      </c>
      <c r="R37" s="2">
        <f t="shared" si="2"/>
        <v>0</v>
      </c>
      <c r="S37" s="42">
        <f t="shared" si="3"/>
        <v>48.5</v>
      </c>
    </row>
    <row r="38">
      <c r="A38" s="32">
        <v>34.0</v>
      </c>
      <c r="B38" s="79" t="s">
        <v>118</v>
      </c>
      <c r="C38" s="80" t="s">
        <v>32</v>
      </c>
      <c r="D38" s="23" t="s">
        <v>21</v>
      </c>
      <c r="E38" s="74"/>
      <c r="F38" s="74"/>
      <c r="G38" s="74"/>
      <c r="H38" s="75"/>
      <c r="I38" s="75"/>
      <c r="J38" s="75"/>
      <c r="K38" s="81">
        <v>639.0</v>
      </c>
      <c r="L38" s="81">
        <v>4.0</v>
      </c>
      <c r="M38" s="81">
        <v>70.0</v>
      </c>
      <c r="N38" s="78"/>
      <c r="O38" s="78"/>
      <c r="P38" s="78"/>
      <c r="Q38" s="30">
        <f t="shared" si="1"/>
        <v>159.75</v>
      </c>
      <c r="R38" s="2">
        <f t="shared" si="2"/>
        <v>70</v>
      </c>
      <c r="S38" s="82"/>
    </row>
    <row r="39">
      <c r="A39" s="21">
        <v>35.0</v>
      </c>
      <c r="B39" s="79" t="s">
        <v>119</v>
      </c>
      <c r="C39" s="79" t="s">
        <v>60</v>
      </c>
      <c r="D39" s="79"/>
      <c r="E39" s="74"/>
      <c r="F39" s="74"/>
      <c r="G39" s="74"/>
      <c r="H39" s="75"/>
      <c r="I39" s="75"/>
      <c r="J39" s="75"/>
      <c r="K39" s="81">
        <v>575.0</v>
      </c>
      <c r="L39" s="81">
        <v>8.0</v>
      </c>
      <c r="M39" s="81">
        <v>30.0</v>
      </c>
      <c r="N39" s="78"/>
      <c r="O39" s="78"/>
      <c r="P39" s="78"/>
      <c r="Q39" s="30">
        <f t="shared" si="1"/>
        <v>143.75</v>
      </c>
      <c r="R39" s="2">
        <f t="shared" si="2"/>
        <v>30</v>
      </c>
      <c r="S39" s="82"/>
    </row>
    <row r="40">
      <c r="A40" s="32">
        <v>36.0</v>
      </c>
      <c r="B40" s="79" t="s">
        <v>120</v>
      </c>
      <c r="C40" s="79" t="s">
        <v>60</v>
      </c>
      <c r="D40" s="79"/>
      <c r="E40" s="74"/>
      <c r="F40" s="74"/>
      <c r="G40" s="74"/>
      <c r="H40" s="75"/>
      <c r="I40" s="75"/>
      <c r="J40" s="75"/>
      <c r="K40" s="83">
        <v>557.0</v>
      </c>
      <c r="L40" s="84"/>
      <c r="M40" s="84"/>
      <c r="N40" s="78"/>
      <c r="O40" s="78"/>
      <c r="P40" s="78"/>
      <c r="Q40" s="30">
        <f t="shared" si="1"/>
        <v>139.25</v>
      </c>
      <c r="R40" s="2">
        <f t="shared" si="2"/>
        <v>0</v>
      </c>
      <c r="S40" s="82"/>
    </row>
    <row r="41">
      <c r="A41" s="21">
        <v>37.0</v>
      </c>
      <c r="B41" s="79" t="s">
        <v>121</v>
      </c>
      <c r="C41" s="79" t="s">
        <v>60</v>
      </c>
      <c r="D41" s="79"/>
      <c r="E41" s="74"/>
      <c r="F41" s="74"/>
      <c r="G41" s="74"/>
      <c r="H41" s="75"/>
      <c r="I41" s="75"/>
      <c r="J41" s="75"/>
      <c r="K41" s="85">
        <v>533.0</v>
      </c>
      <c r="L41" s="86"/>
      <c r="M41" s="86"/>
      <c r="N41" s="78"/>
      <c r="O41" s="78"/>
      <c r="P41" s="78"/>
      <c r="Q41" s="30">
        <f t="shared" si="1"/>
        <v>133.25</v>
      </c>
      <c r="R41" s="2">
        <f t="shared" si="2"/>
        <v>0</v>
      </c>
      <c r="S41" s="82"/>
    </row>
    <row r="42">
      <c r="A42" s="32">
        <v>38.0</v>
      </c>
      <c r="B42" s="79" t="s">
        <v>122</v>
      </c>
      <c r="C42" s="87" t="s">
        <v>32</v>
      </c>
      <c r="D42" s="87"/>
      <c r="E42" s="74"/>
      <c r="F42" s="74"/>
      <c r="G42" s="74"/>
      <c r="H42" s="75"/>
      <c r="I42" s="75"/>
      <c r="J42" s="75"/>
      <c r="K42" s="88">
        <v>482.0</v>
      </c>
      <c r="L42" s="76"/>
      <c r="M42" s="76"/>
      <c r="N42" s="78"/>
      <c r="O42" s="78"/>
      <c r="P42" s="78"/>
      <c r="Q42" s="30">
        <f t="shared" si="1"/>
        <v>120.5</v>
      </c>
      <c r="R42" s="2">
        <f t="shared" si="2"/>
        <v>0</v>
      </c>
      <c r="S42" s="82"/>
    </row>
    <row r="43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1" width="6.0"/>
    <col customWidth="1" min="12" max="16" width="5.25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3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9" t="s">
        <v>3</v>
      </c>
      <c r="L3" s="5"/>
      <c r="M3" s="6"/>
      <c r="N3" s="89" t="s">
        <v>2</v>
      </c>
      <c r="O3" s="5"/>
      <c r="P3" s="6"/>
      <c r="Q3" s="90"/>
      <c r="R3" s="12"/>
      <c r="S3" s="3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17" t="s">
        <v>8</v>
      </c>
      <c r="L4" s="17" t="s">
        <v>9</v>
      </c>
      <c r="M4" s="17" t="s">
        <v>10</v>
      </c>
      <c r="N4" s="91" t="s">
        <v>8</v>
      </c>
      <c r="O4" s="91" t="s">
        <v>9</v>
      </c>
      <c r="P4" s="91" t="s">
        <v>10</v>
      </c>
      <c r="Q4" s="18" t="s">
        <v>11</v>
      </c>
      <c r="R4" s="19" t="s">
        <v>12</v>
      </c>
      <c r="S4" s="20" t="s">
        <v>13</v>
      </c>
    </row>
    <row r="5">
      <c r="A5" s="21">
        <v>1.0</v>
      </c>
      <c r="B5" s="23" t="s">
        <v>59</v>
      </c>
      <c r="C5" s="23" t="s">
        <v>39</v>
      </c>
      <c r="D5" s="23" t="s">
        <v>40</v>
      </c>
      <c r="E5" s="24">
        <v>642.0</v>
      </c>
      <c r="F5" s="24">
        <v>5.0</v>
      </c>
      <c r="G5" s="43">
        <v>30.0</v>
      </c>
      <c r="H5" s="26">
        <v>615.0</v>
      </c>
      <c r="I5" s="27"/>
      <c r="J5" s="15"/>
      <c r="K5" s="29">
        <v>617.0</v>
      </c>
      <c r="L5" s="45">
        <v>1.0</v>
      </c>
      <c r="M5" s="45">
        <v>70.0</v>
      </c>
      <c r="N5" s="92">
        <v>622.0</v>
      </c>
      <c r="O5" s="92">
        <v>6.0</v>
      </c>
      <c r="P5" s="92">
        <v>50.0</v>
      </c>
      <c r="Q5" s="30">
        <f t="shared" ref="Q5:Q63" si="1">(E5+H5+K5+N5)/4</f>
        <v>624</v>
      </c>
      <c r="R5" s="2">
        <f t="shared" ref="R5:R63" si="2">G5+J5+M5+P5</f>
        <v>150</v>
      </c>
      <c r="S5" s="2">
        <f t="shared" ref="S5:S63" si="3">Q5+R5</f>
        <v>774</v>
      </c>
    </row>
    <row r="6">
      <c r="A6" s="32">
        <v>2.0</v>
      </c>
      <c r="B6" s="23" t="s">
        <v>123</v>
      </c>
      <c r="C6" s="23" t="s">
        <v>67</v>
      </c>
      <c r="D6" s="23" t="s">
        <v>34</v>
      </c>
      <c r="E6" s="24">
        <v>614.0</v>
      </c>
      <c r="F6" s="24">
        <v>3.0</v>
      </c>
      <c r="G6" s="24">
        <v>50.0</v>
      </c>
      <c r="H6" s="26">
        <v>623.0</v>
      </c>
      <c r="I6" s="26">
        <v>6.0</v>
      </c>
      <c r="J6" s="26">
        <v>20.0</v>
      </c>
      <c r="K6" s="29">
        <v>612.0</v>
      </c>
      <c r="L6" s="45">
        <v>2.0</v>
      </c>
      <c r="M6" s="45">
        <v>60.0</v>
      </c>
      <c r="N6" s="93">
        <v>609.0</v>
      </c>
      <c r="O6" s="93"/>
      <c r="P6" s="93"/>
      <c r="Q6" s="30">
        <f t="shared" si="1"/>
        <v>614.5</v>
      </c>
      <c r="R6" s="2">
        <f t="shared" si="2"/>
        <v>130</v>
      </c>
      <c r="S6" s="2">
        <f t="shared" si="3"/>
        <v>744.5</v>
      </c>
    </row>
    <row r="7">
      <c r="A7" s="21">
        <v>3.0</v>
      </c>
      <c r="B7" s="23" t="s">
        <v>124</v>
      </c>
      <c r="C7" s="23" t="s">
        <v>15</v>
      </c>
      <c r="D7" s="23" t="s">
        <v>40</v>
      </c>
      <c r="E7" s="24">
        <v>614.0</v>
      </c>
      <c r="F7" s="25"/>
      <c r="G7" s="14"/>
      <c r="H7" s="44">
        <v>619.0</v>
      </c>
      <c r="I7" s="26">
        <v>2.0</v>
      </c>
      <c r="J7" s="26">
        <v>60.0</v>
      </c>
      <c r="K7" s="29">
        <v>570.0</v>
      </c>
      <c r="L7" s="29">
        <v>8.0</v>
      </c>
      <c r="M7" s="29">
        <v>5.0</v>
      </c>
      <c r="N7" s="94">
        <v>620.0</v>
      </c>
      <c r="O7" s="94">
        <v>3.0</v>
      </c>
      <c r="P7" s="94">
        <v>50.0</v>
      </c>
      <c r="Q7" s="30">
        <f t="shared" si="1"/>
        <v>605.75</v>
      </c>
      <c r="R7" s="2">
        <f t="shared" si="2"/>
        <v>115</v>
      </c>
      <c r="S7" s="2">
        <f t="shared" si="3"/>
        <v>720.75</v>
      </c>
    </row>
    <row r="8">
      <c r="A8" s="32">
        <v>4.0</v>
      </c>
      <c r="B8" s="23" t="s">
        <v>125</v>
      </c>
      <c r="C8" s="23" t="s">
        <v>36</v>
      </c>
      <c r="D8" s="23" t="s">
        <v>21</v>
      </c>
      <c r="E8" s="24">
        <v>620.0</v>
      </c>
      <c r="F8" s="25"/>
      <c r="G8" s="14"/>
      <c r="H8" s="44">
        <v>596.0</v>
      </c>
      <c r="I8" s="27"/>
      <c r="J8" s="27"/>
      <c r="K8" s="29">
        <v>612.0</v>
      </c>
      <c r="L8" s="45">
        <v>4.0</v>
      </c>
      <c r="M8" s="45">
        <v>40.0</v>
      </c>
      <c r="N8" s="93">
        <v>631.0</v>
      </c>
      <c r="O8" s="93">
        <v>4.0</v>
      </c>
      <c r="P8" s="93">
        <v>40.0</v>
      </c>
      <c r="Q8" s="30">
        <f t="shared" si="1"/>
        <v>614.75</v>
      </c>
      <c r="R8" s="2">
        <f t="shared" si="2"/>
        <v>80</v>
      </c>
      <c r="S8" s="2">
        <f t="shared" si="3"/>
        <v>694.75</v>
      </c>
    </row>
    <row r="9">
      <c r="A9" s="21">
        <v>5.0</v>
      </c>
      <c r="B9" s="23" t="s">
        <v>126</v>
      </c>
      <c r="C9" s="23" t="s">
        <v>36</v>
      </c>
      <c r="D9" s="23" t="s">
        <v>34</v>
      </c>
      <c r="E9" s="24">
        <v>636.0</v>
      </c>
      <c r="F9" s="24">
        <v>6.0</v>
      </c>
      <c r="G9" s="43">
        <v>20.0</v>
      </c>
      <c r="H9" s="26">
        <v>628.0</v>
      </c>
      <c r="I9" s="26">
        <v>7.0</v>
      </c>
      <c r="J9" s="44">
        <v>10.0</v>
      </c>
      <c r="K9" s="29">
        <v>600.0</v>
      </c>
      <c r="L9" s="45">
        <v>5.0</v>
      </c>
      <c r="M9" s="45">
        <v>30.0</v>
      </c>
      <c r="N9" s="93">
        <v>639.0</v>
      </c>
      <c r="O9" s="93"/>
      <c r="P9" s="93"/>
      <c r="Q9" s="30">
        <f t="shared" si="1"/>
        <v>625.75</v>
      </c>
      <c r="R9" s="2">
        <f t="shared" si="2"/>
        <v>60</v>
      </c>
      <c r="S9" s="2">
        <f t="shared" si="3"/>
        <v>685.75</v>
      </c>
    </row>
    <row r="10">
      <c r="A10" s="32">
        <v>6.0</v>
      </c>
      <c r="B10" s="23" t="s">
        <v>127</v>
      </c>
      <c r="C10" s="23" t="s">
        <v>18</v>
      </c>
      <c r="D10" s="23" t="s">
        <v>21</v>
      </c>
      <c r="E10" s="24">
        <v>609.0</v>
      </c>
      <c r="F10" s="24">
        <v>4.0</v>
      </c>
      <c r="G10" s="24">
        <v>40.0</v>
      </c>
      <c r="H10" s="26">
        <v>584.0</v>
      </c>
      <c r="I10" s="27"/>
      <c r="J10" s="15"/>
      <c r="K10" s="29">
        <v>584.0</v>
      </c>
      <c r="L10" s="47"/>
      <c r="M10" s="47"/>
      <c r="N10" s="94">
        <v>626.0</v>
      </c>
      <c r="O10" s="94">
        <v>5.0</v>
      </c>
      <c r="P10" s="94">
        <v>30.0</v>
      </c>
      <c r="Q10" s="30">
        <f t="shared" si="1"/>
        <v>600.75</v>
      </c>
      <c r="R10" s="2">
        <f t="shared" si="2"/>
        <v>70</v>
      </c>
      <c r="S10" s="2">
        <f t="shared" si="3"/>
        <v>670.75</v>
      </c>
    </row>
    <row r="11">
      <c r="A11" s="21">
        <v>7.0</v>
      </c>
      <c r="B11" s="23" t="s">
        <v>128</v>
      </c>
      <c r="C11" s="23" t="s">
        <v>67</v>
      </c>
      <c r="D11" s="23" t="s">
        <v>21</v>
      </c>
      <c r="E11" s="24">
        <v>589.0</v>
      </c>
      <c r="F11" s="24">
        <v>7.0</v>
      </c>
      <c r="G11" s="24">
        <v>10.0</v>
      </c>
      <c r="H11" s="26">
        <v>606.0</v>
      </c>
      <c r="I11" s="26">
        <v>5.0</v>
      </c>
      <c r="J11" s="26">
        <v>30.0</v>
      </c>
      <c r="K11" s="29">
        <v>601.0</v>
      </c>
      <c r="L11" s="47"/>
      <c r="M11" s="47"/>
      <c r="N11" s="94">
        <v>642.0</v>
      </c>
      <c r="O11" s="94">
        <v>6.0</v>
      </c>
      <c r="P11" s="94">
        <v>20.0</v>
      </c>
      <c r="Q11" s="30">
        <f t="shared" si="1"/>
        <v>609.5</v>
      </c>
      <c r="R11" s="2">
        <f t="shared" si="2"/>
        <v>60</v>
      </c>
      <c r="S11" s="2">
        <f t="shared" si="3"/>
        <v>669.5</v>
      </c>
    </row>
    <row r="12">
      <c r="A12" s="32">
        <v>8.0</v>
      </c>
      <c r="B12" s="23" t="s">
        <v>129</v>
      </c>
      <c r="C12" s="23" t="s">
        <v>15</v>
      </c>
      <c r="D12" s="23" t="s">
        <v>40</v>
      </c>
      <c r="E12" s="24">
        <v>633.0</v>
      </c>
      <c r="F12" s="25"/>
      <c r="G12" s="14"/>
      <c r="H12" s="44">
        <v>611.0</v>
      </c>
      <c r="I12" s="27"/>
      <c r="J12" s="27"/>
      <c r="K12" s="29">
        <v>570.0</v>
      </c>
      <c r="L12" s="17"/>
      <c r="M12" s="17"/>
      <c r="N12" s="93">
        <v>639.0</v>
      </c>
      <c r="O12" s="91"/>
      <c r="P12" s="91"/>
      <c r="Q12" s="30">
        <f t="shared" si="1"/>
        <v>613.25</v>
      </c>
      <c r="R12" s="2">
        <f t="shared" si="2"/>
        <v>0</v>
      </c>
      <c r="S12" s="2">
        <f t="shared" si="3"/>
        <v>613.25</v>
      </c>
    </row>
    <row r="13">
      <c r="A13" s="21">
        <v>9.0</v>
      </c>
      <c r="B13" s="23" t="s">
        <v>130</v>
      </c>
      <c r="C13" s="23" t="s">
        <v>18</v>
      </c>
      <c r="D13" s="23" t="s">
        <v>21</v>
      </c>
      <c r="E13" s="24">
        <v>590.0</v>
      </c>
      <c r="F13" s="25"/>
      <c r="G13" s="25"/>
      <c r="H13" s="26">
        <v>613.0</v>
      </c>
      <c r="I13" s="27"/>
      <c r="J13" s="15"/>
      <c r="K13" s="29">
        <v>592.0</v>
      </c>
      <c r="L13" s="29">
        <v>7.0</v>
      </c>
      <c r="M13" s="29">
        <v>10.0</v>
      </c>
      <c r="N13" s="94">
        <v>606.0</v>
      </c>
      <c r="O13" s="94"/>
      <c r="P13" s="94"/>
      <c r="Q13" s="30">
        <f t="shared" si="1"/>
        <v>600.25</v>
      </c>
      <c r="R13" s="2">
        <f t="shared" si="2"/>
        <v>10</v>
      </c>
      <c r="S13" s="2">
        <f t="shared" si="3"/>
        <v>610.25</v>
      </c>
    </row>
    <row r="14">
      <c r="A14" s="32">
        <v>10.0</v>
      </c>
      <c r="B14" s="23" t="s">
        <v>131</v>
      </c>
      <c r="C14" s="23" t="s">
        <v>39</v>
      </c>
      <c r="D14" s="23"/>
      <c r="E14" s="24">
        <v>540.0</v>
      </c>
      <c r="F14" s="25"/>
      <c r="G14" s="25"/>
      <c r="H14" s="26">
        <v>538.0</v>
      </c>
      <c r="I14" s="27"/>
      <c r="J14" s="27"/>
      <c r="K14" s="29">
        <v>514.0</v>
      </c>
      <c r="L14" s="29">
        <v>3.0</v>
      </c>
      <c r="M14" s="29">
        <v>50.0</v>
      </c>
      <c r="N14" s="94">
        <v>548.0</v>
      </c>
      <c r="O14" s="94"/>
      <c r="P14" s="94"/>
      <c r="Q14" s="30">
        <f t="shared" si="1"/>
        <v>535</v>
      </c>
      <c r="R14" s="2">
        <f t="shared" si="2"/>
        <v>50</v>
      </c>
      <c r="S14" s="2">
        <f t="shared" si="3"/>
        <v>585</v>
      </c>
    </row>
    <row r="15">
      <c r="A15" s="21">
        <v>11.0</v>
      </c>
      <c r="B15" s="23" t="s">
        <v>132</v>
      </c>
      <c r="C15" s="23" t="s">
        <v>18</v>
      </c>
      <c r="D15" s="23" t="s">
        <v>21</v>
      </c>
      <c r="E15" s="24">
        <v>581.0</v>
      </c>
      <c r="F15" s="25"/>
      <c r="G15" s="25"/>
      <c r="H15" s="26">
        <v>554.0</v>
      </c>
      <c r="I15" s="26">
        <v>8.0</v>
      </c>
      <c r="J15" s="26">
        <v>5.0</v>
      </c>
      <c r="K15" s="29">
        <v>547.0</v>
      </c>
      <c r="L15" s="47"/>
      <c r="M15" s="47"/>
      <c r="N15" s="94">
        <v>616.0</v>
      </c>
      <c r="O15" s="94">
        <v>8.0</v>
      </c>
      <c r="P15" s="94">
        <v>5.0</v>
      </c>
      <c r="Q15" s="30">
        <f t="shared" si="1"/>
        <v>574.5</v>
      </c>
      <c r="R15" s="2">
        <f t="shared" si="2"/>
        <v>10</v>
      </c>
      <c r="S15" s="2">
        <f t="shared" si="3"/>
        <v>584.5</v>
      </c>
    </row>
    <row r="16">
      <c r="A16" s="32">
        <v>12.0</v>
      </c>
      <c r="B16" s="23" t="s">
        <v>133</v>
      </c>
      <c r="C16" s="23" t="s">
        <v>51</v>
      </c>
      <c r="D16" s="23" t="s">
        <v>21</v>
      </c>
      <c r="E16" s="24">
        <v>627.0</v>
      </c>
      <c r="F16" s="24">
        <v>1.0</v>
      </c>
      <c r="G16" s="43">
        <v>70.0</v>
      </c>
      <c r="H16" s="26">
        <v>644.0</v>
      </c>
      <c r="I16" s="26">
        <v>4.0</v>
      </c>
      <c r="J16" s="44">
        <v>40.0</v>
      </c>
      <c r="K16" s="29"/>
      <c r="L16" s="17"/>
      <c r="M16" s="17"/>
      <c r="N16" s="93">
        <v>617.0</v>
      </c>
      <c r="O16" s="91"/>
      <c r="P16" s="91"/>
      <c r="Q16" s="30">
        <f t="shared" si="1"/>
        <v>472</v>
      </c>
      <c r="R16" s="2">
        <f t="shared" si="2"/>
        <v>110</v>
      </c>
      <c r="S16" s="2">
        <f t="shared" si="3"/>
        <v>582</v>
      </c>
    </row>
    <row r="17">
      <c r="A17" s="21">
        <v>13.0</v>
      </c>
      <c r="B17" s="23" t="s">
        <v>134</v>
      </c>
      <c r="C17" s="23" t="s">
        <v>42</v>
      </c>
      <c r="D17" s="23"/>
      <c r="E17" s="24">
        <v>566.0</v>
      </c>
      <c r="F17" s="25"/>
      <c r="G17" s="25"/>
      <c r="H17" s="26">
        <v>607.0</v>
      </c>
      <c r="I17" s="27"/>
      <c r="J17" s="27"/>
      <c r="K17" s="29">
        <v>553.0</v>
      </c>
      <c r="L17" s="47"/>
      <c r="M17" s="47"/>
      <c r="N17" s="94">
        <v>587.0</v>
      </c>
      <c r="O17" s="30"/>
      <c r="P17" s="30"/>
      <c r="Q17" s="30">
        <f t="shared" si="1"/>
        <v>578.25</v>
      </c>
      <c r="R17" s="2">
        <f t="shared" si="2"/>
        <v>0</v>
      </c>
      <c r="S17" s="2">
        <f t="shared" si="3"/>
        <v>578.25</v>
      </c>
    </row>
    <row r="18">
      <c r="A18" s="32">
        <v>14.0</v>
      </c>
      <c r="B18" s="23" t="s">
        <v>135</v>
      </c>
      <c r="C18" s="23" t="s">
        <v>51</v>
      </c>
      <c r="D18" s="23" t="s">
        <v>21</v>
      </c>
      <c r="E18" s="24">
        <v>618.0</v>
      </c>
      <c r="F18" s="25"/>
      <c r="G18" s="14"/>
      <c r="H18" s="26">
        <v>624.0</v>
      </c>
      <c r="I18" s="26">
        <v>3.0</v>
      </c>
      <c r="J18" s="26">
        <v>50.0</v>
      </c>
      <c r="K18" s="47"/>
      <c r="L18" s="17"/>
      <c r="M18" s="17"/>
      <c r="N18" s="93">
        <v>582.0</v>
      </c>
      <c r="O18" s="91"/>
      <c r="P18" s="91"/>
      <c r="Q18" s="30">
        <f t="shared" si="1"/>
        <v>456</v>
      </c>
      <c r="R18" s="2">
        <f t="shared" si="2"/>
        <v>50</v>
      </c>
      <c r="S18" s="2">
        <f t="shared" si="3"/>
        <v>506</v>
      </c>
    </row>
    <row r="19">
      <c r="A19" s="21">
        <v>15.0</v>
      </c>
      <c r="B19" s="23" t="s">
        <v>136</v>
      </c>
      <c r="C19" s="23" t="s">
        <v>42</v>
      </c>
      <c r="D19" s="23"/>
      <c r="E19" s="24">
        <v>623.0</v>
      </c>
      <c r="F19" s="24">
        <v>8.0</v>
      </c>
      <c r="G19" s="43">
        <v>5.0</v>
      </c>
      <c r="H19" s="44">
        <v>598.0</v>
      </c>
      <c r="I19" s="27"/>
      <c r="J19" s="27"/>
      <c r="K19" s="29"/>
      <c r="L19" s="17"/>
      <c r="M19" s="17"/>
      <c r="N19" s="93">
        <v>521.0</v>
      </c>
      <c r="O19" s="91"/>
      <c r="P19" s="91"/>
      <c r="Q19" s="30">
        <f t="shared" si="1"/>
        <v>435.5</v>
      </c>
      <c r="R19" s="2">
        <f t="shared" si="2"/>
        <v>5</v>
      </c>
      <c r="S19" s="2">
        <f t="shared" si="3"/>
        <v>440.5</v>
      </c>
    </row>
    <row r="20">
      <c r="A20" s="32">
        <v>16.0</v>
      </c>
      <c r="B20" s="23" t="s">
        <v>137</v>
      </c>
      <c r="C20" s="23" t="s">
        <v>42</v>
      </c>
      <c r="D20" s="23" t="s">
        <v>34</v>
      </c>
      <c r="E20" s="24">
        <v>573.0</v>
      </c>
      <c r="F20" s="25"/>
      <c r="G20" s="25"/>
      <c r="H20" s="26">
        <v>591.0</v>
      </c>
      <c r="I20" s="27"/>
      <c r="J20" s="27"/>
      <c r="K20" s="29"/>
      <c r="L20" s="47"/>
      <c r="M20" s="47"/>
      <c r="N20" s="94">
        <v>581.0</v>
      </c>
      <c r="O20" s="30"/>
      <c r="P20" s="30"/>
      <c r="Q20" s="30">
        <f t="shared" si="1"/>
        <v>436.25</v>
      </c>
      <c r="R20" s="2">
        <f t="shared" si="2"/>
        <v>0</v>
      </c>
      <c r="S20" s="2">
        <f t="shared" si="3"/>
        <v>436.25</v>
      </c>
    </row>
    <row r="21">
      <c r="A21" s="21">
        <v>17.0</v>
      </c>
      <c r="B21" s="22" t="s">
        <v>138</v>
      </c>
      <c r="C21" s="22" t="s">
        <v>36</v>
      </c>
      <c r="D21" s="22" t="s">
        <v>21</v>
      </c>
      <c r="E21" s="24">
        <v>536.0</v>
      </c>
      <c r="F21" s="25"/>
      <c r="G21" s="25"/>
      <c r="H21" s="27"/>
      <c r="I21" s="27"/>
      <c r="J21" s="27"/>
      <c r="K21" s="29">
        <v>596.0</v>
      </c>
      <c r="L21" s="47"/>
      <c r="M21" s="47"/>
      <c r="N21" s="94">
        <v>588.0</v>
      </c>
      <c r="O21" s="30"/>
      <c r="P21" s="30"/>
      <c r="Q21" s="30">
        <f t="shared" si="1"/>
        <v>430</v>
      </c>
      <c r="R21" s="2">
        <f t="shared" si="2"/>
        <v>0</v>
      </c>
      <c r="S21" s="2">
        <f t="shared" si="3"/>
        <v>430</v>
      </c>
    </row>
    <row r="22">
      <c r="A22" s="32">
        <v>18.0</v>
      </c>
      <c r="B22" s="31" t="s">
        <v>139</v>
      </c>
      <c r="C22" s="31" t="s">
        <v>32</v>
      </c>
      <c r="D22" s="23" t="s">
        <v>40</v>
      </c>
      <c r="E22" s="49"/>
      <c r="F22" s="49"/>
      <c r="G22" s="49"/>
      <c r="H22" s="95">
        <v>544.0</v>
      </c>
      <c r="I22" s="50"/>
      <c r="J22" s="50"/>
      <c r="K22" s="53">
        <v>568.0</v>
      </c>
      <c r="L22" s="54"/>
      <c r="M22" s="54"/>
      <c r="N22" s="96">
        <v>604.0</v>
      </c>
      <c r="O22" s="97"/>
      <c r="P22" s="97"/>
      <c r="Q22" s="30">
        <f t="shared" si="1"/>
        <v>429</v>
      </c>
      <c r="R22" s="2">
        <f t="shared" si="2"/>
        <v>0</v>
      </c>
      <c r="S22" s="2">
        <f t="shared" si="3"/>
        <v>429</v>
      </c>
    </row>
    <row r="23">
      <c r="A23" s="21">
        <v>19.0</v>
      </c>
      <c r="B23" s="23" t="s">
        <v>69</v>
      </c>
      <c r="C23" s="23" t="s">
        <v>18</v>
      </c>
      <c r="D23" s="23"/>
      <c r="E23" s="24">
        <v>555.0</v>
      </c>
      <c r="F23" s="25"/>
      <c r="G23" s="25"/>
      <c r="H23" s="26">
        <v>570.0</v>
      </c>
      <c r="I23" s="27"/>
      <c r="J23" s="27"/>
      <c r="K23" s="29"/>
      <c r="L23" s="47"/>
      <c r="M23" s="47"/>
      <c r="N23" s="94">
        <v>582.0</v>
      </c>
      <c r="O23" s="30"/>
      <c r="P23" s="30"/>
      <c r="Q23" s="30">
        <f t="shared" si="1"/>
        <v>426.75</v>
      </c>
      <c r="R23" s="2">
        <f t="shared" si="2"/>
        <v>0</v>
      </c>
      <c r="S23" s="2">
        <f t="shared" si="3"/>
        <v>426.75</v>
      </c>
    </row>
    <row r="24">
      <c r="A24" s="32">
        <v>20.0</v>
      </c>
      <c r="B24" s="31" t="s">
        <v>140</v>
      </c>
      <c r="C24" s="31" t="s">
        <v>32</v>
      </c>
      <c r="D24" s="23" t="s">
        <v>40</v>
      </c>
      <c r="E24" s="49"/>
      <c r="F24" s="49"/>
      <c r="G24" s="49"/>
      <c r="H24" s="95">
        <v>575.0</v>
      </c>
      <c r="I24" s="50"/>
      <c r="J24" s="50"/>
      <c r="K24" s="53">
        <v>571.0</v>
      </c>
      <c r="L24" s="54"/>
      <c r="M24" s="54"/>
      <c r="N24" s="96">
        <v>555.0</v>
      </c>
      <c r="O24" s="97"/>
      <c r="P24" s="97"/>
      <c r="Q24" s="30">
        <f t="shared" si="1"/>
        <v>425.25</v>
      </c>
      <c r="R24" s="2">
        <f t="shared" si="2"/>
        <v>0</v>
      </c>
      <c r="S24" s="2">
        <f t="shared" si="3"/>
        <v>425.25</v>
      </c>
    </row>
    <row r="25">
      <c r="A25" s="21">
        <v>21.0</v>
      </c>
      <c r="B25" s="23" t="s">
        <v>141</v>
      </c>
      <c r="C25" s="23" t="s">
        <v>32</v>
      </c>
      <c r="D25" s="23"/>
      <c r="E25" s="24">
        <v>613.0</v>
      </c>
      <c r="F25" s="24">
        <v>2.0</v>
      </c>
      <c r="G25" s="24">
        <v>60.0</v>
      </c>
      <c r="H25" s="26">
        <v>552.0</v>
      </c>
      <c r="I25" s="26">
        <v>1.0</v>
      </c>
      <c r="J25" s="44">
        <v>70.0</v>
      </c>
      <c r="K25" s="47"/>
      <c r="L25" s="47"/>
      <c r="M25" s="47"/>
      <c r="N25" s="30"/>
      <c r="O25" s="30"/>
      <c r="P25" s="30"/>
      <c r="Q25" s="30">
        <f t="shared" si="1"/>
        <v>291.25</v>
      </c>
      <c r="R25" s="2">
        <f t="shared" si="2"/>
        <v>130</v>
      </c>
      <c r="S25" s="2">
        <f t="shared" si="3"/>
        <v>421.25</v>
      </c>
    </row>
    <row r="26">
      <c r="A26" s="32">
        <v>22.0</v>
      </c>
      <c r="B26" s="23" t="s">
        <v>142</v>
      </c>
      <c r="C26" s="23" t="s">
        <v>44</v>
      </c>
      <c r="D26" s="23" t="s">
        <v>40</v>
      </c>
      <c r="E26" s="24">
        <v>511.0</v>
      </c>
      <c r="F26" s="25"/>
      <c r="G26" s="25"/>
      <c r="H26" s="26">
        <v>555.0</v>
      </c>
      <c r="I26" s="27"/>
      <c r="J26" s="27"/>
      <c r="K26" s="29"/>
      <c r="L26" s="47"/>
      <c r="M26" s="47"/>
      <c r="N26" s="94">
        <v>558.0</v>
      </c>
      <c r="O26" s="30"/>
      <c r="P26" s="30"/>
      <c r="Q26" s="30">
        <f t="shared" si="1"/>
        <v>406</v>
      </c>
      <c r="R26" s="2">
        <f t="shared" si="2"/>
        <v>0</v>
      </c>
      <c r="S26" s="2">
        <f t="shared" si="3"/>
        <v>406</v>
      </c>
    </row>
    <row r="27">
      <c r="A27" s="21">
        <v>23.0</v>
      </c>
      <c r="B27" s="22" t="s">
        <v>143</v>
      </c>
      <c r="C27" s="22" t="s">
        <v>67</v>
      </c>
      <c r="D27" s="22"/>
      <c r="E27" s="24">
        <v>544.0</v>
      </c>
      <c r="F27" s="25"/>
      <c r="G27" s="25"/>
      <c r="H27" s="27"/>
      <c r="I27" s="27"/>
      <c r="J27" s="27"/>
      <c r="K27" s="29">
        <v>500.0</v>
      </c>
      <c r="L27" s="47"/>
      <c r="M27" s="47"/>
      <c r="N27" s="94">
        <v>574.0</v>
      </c>
      <c r="O27" s="30"/>
      <c r="P27" s="30"/>
      <c r="Q27" s="30">
        <f t="shared" si="1"/>
        <v>404.5</v>
      </c>
      <c r="R27" s="2">
        <f t="shared" si="2"/>
        <v>0</v>
      </c>
      <c r="S27" s="2">
        <f t="shared" si="3"/>
        <v>404.5</v>
      </c>
    </row>
    <row r="28">
      <c r="A28" s="32">
        <v>24.0</v>
      </c>
      <c r="B28" s="23" t="s">
        <v>144</v>
      </c>
      <c r="C28" s="23" t="s">
        <v>36</v>
      </c>
      <c r="D28" s="23"/>
      <c r="E28" s="24">
        <v>568.0</v>
      </c>
      <c r="F28" s="25"/>
      <c r="G28" s="25"/>
      <c r="H28" s="26">
        <v>541.0</v>
      </c>
      <c r="I28" s="27"/>
      <c r="J28" s="27"/>
      <c r="K28" s="29"/>
      <c r="L28" s="47"/>
      <c r="M28" s="47"/>
      <c r="N28" s="94">
        <v>400.0</v>
      </c>
      <c r="O28" s="30"/>
      <c r="P28" s="30"/>
      <c r="Q28" s="30">
        <f t="shared" si="1"/>
        <v>377.25</v>
      </c>
      <c r="R28" s="2">
        <f t="shared" si="2"/>
        <v>0</v>
      </c>
      <c r="S28" s="2">
        <f t="shared" si="3"/>
        <v>377.25</v>
      </c>
    </row>
    <row r="29">
      <c r="A29" s="21">
        <v>25.0</v>
      </c>
      <c r="B29" s="23" t="s">
        <v>145</v>
      </c>
      <c r="C29" s="23" t="s">
        <v>44</v>
      </c>
      <c r="D29" s="23"/>
      <c r="E29" s="24">
        <v>459.0</v>
      </c>
      <c r="F29" s="25"/>
      <c r="G29" s="25"/>
      <c r="H29" s="26">
        <v>458.0</v>
      </c>
      <c r="I29" s="27"/>
      <c r="J29" s="27"/>
      <c r="K29" s="29"/>
      <c r="L29" s="47"/>
      <c r="M29" s="47"/>
      <c r="N29" s="94">
        <v>554.0</v>
      </c>
      <c r="O29" s="30"/>
      <c r="P29" s="30"/>
      <c r="Q29" s="30">
        <f t="shared" si="1"/>
        <v>367.75</v>
      </c>
      <c r="R29" s="2">
        <f t="shared" si="2"/>
        <v>0</v>
      </c>
      <c r="S29" s="2">
        <f t="shared" si="3"/>
        <v>367.75</v>
      </c>
    </row>
    <row r="30">
      <c r="A30" s="32">
        <v>26.0</v>
      </c>
      <c r="B30" s="31" t="s">
        <v>146</v>
      </c>
      <c r="C30" s="31" t="s">
        <v>32</v>
      </c>
      <c r="D30" s="31" t="s">
        <v>34</v>
      </c>
      <c r="E30" s="49"/>
      <c r="F30" s="49"/>
      <c r="G30" s="49"/>
      <c r="H30" s="95">
        <v>440.0</v>
      </c>
      <c r="I30" s="50"/>
      <c r="J30" s="50"/>
      <c r="K30" s="53">
        <v>479.0</v>
      </c>
      <c r="L30" s="54"/>
      <c r="M30" s="54"/>
      <c r="N30" s="96">
        <v>549.0</v>
      </c>
      <c r="O30" s="97"/>
      <c r="P30" s="97"/>
      <c r="Q30" s="30">
        <f t="shared" si="1"/>
        <v>367</v>
      </c>
      <c r="R30" s="2">
        <f t="shared" si="2"/>
        <v>0</v>
      </c>
      <c r="S30" s="2">
        <f t="shared" si="3"/>
        <v>367</v>
      </c>
    </row>
    <row r="31">
      <c r="A31" s="21">
        <v>27.0</v>
      </c>
      <c r="B31" s="22" t="s">
        <v>147</v>
      </c>
      <c r="C31" s="22" t="s">
        <v>44</v>
      </c>
      <c r="D31" s="22"/>
      <c r="E31" s="24">
        <v>409.0</v>
      </c>
      <c r="F31" s="25"/>
      <c r="G31" s="25"/>
      <c r="H31" s="26">
        <v>406.0</v>
      </c>
      <c r="I31" s="27"/>
      <c r="J31" s="27"/>
      <c r="K31" s="29"/>
      <c r="L31" s="47"/>
      <c r="M31" s="47"/>
      <c r="N31" s="94">
        <v>498.0</v>
      </c>
      <c r="O31" s="30"/>
      <c r="P31" s="30"/>
      <c r="Q31" s="30">
        <f t="shared" si="1"/>
        <v>328.25</v>
      </c>
      <c r="R31" s="2">
        <f t="shared" si="2"/>
        <v>0</v>
      </c>
      <c r="S31" s="2">
        <f t="shared" si="3"/>
        <v>328.25</v>
      </c>
    </row>
    <row r="32">
      <c r="A32" s="32">
        <v>28.0</v>
      </c>
      <c r="B32" s="31" t="s">
        <v>75</v>
      </c>
      <c r="C32" s="31" t="s">
        <v>32</v>
      </c>
      <c r="D32" s="23" t="s">
        <v>40</v>
      </c>
      <c r="E32" s="49"/>
      <c r="F32" s="49"/>
      <c r="G32" s="49"/>
      <c r="H32" s="50"/>
      <c r="I32" s="50"/>
      <c r="J32" s="50"/>
      <c r="K32" s="53">
        <v>577.0</v>
      </c>
      <c r="L32" s="53">
        <v>6.0</v>
      </c>
      <c r="M32" s="53">
        <v>20.0</v>
      </c>
      <c r="N32" s="96">
        <v>572.0</v>
      </c>
      <c r="O32" s="96">
        <v>7.0</v>
      </c>
      <c r="P32" s="96">
        <v>10.0</v>
      </c>
      <c r="Q32" s="30">
        <f t="shared" si="1"/>
        <v>287.25</v>
      </c>
      <c r="R32" s="2">
        <f t="shared" si="2"/>
        <v>30</v>
      </c>
      <c r="S32" s="2">
        <f t="shared" si="3"/>
        <v>317.25</v>
      </c>
    </row>
    <row r="33">
      <c r="A33" s="21">
        <v>29.0</v>
      </c>
      <c r="B33" s="22" t="s">
        <v>148</v>
      </c>
      <c r="C33" s="22" t="s">
        <v>15</v>
      </c>
      <c r="D33" s="22" t="s">
        <v>21</v>
      </c>
      <c r="E33" s="24">
        <v>605.0</v>
      </c>
      <c r="F33" s="25"/>
      <c r="G33" s="25"/>
      <c r="H33" s="26">
        <v>606.0</v>
      </c>
      <c r="I33" s="27"/>
      <c r="J33" s="15"/>
      <c r="K33" s="47"/>
      <c r="L33" s="47"/>
      <c r="M33" s="47"/>
      <c r="N33" s="30"/>
      <c r="O33" s="30"/>
      <c r="P33" s="30"/>
      <c r="Q33" s="30">
        <f t="shared" si="1"/>
        <v>302.75</v>
      </c>
      <c r="R33" s="2">
        <f t="shared" si="2"/>
        <v>0</v>
      </c>
      <c r="S33" s="2">
        <f t="shared" si="3"/>
        <v>302.75</v>
      </c>
    </row>
    <row r="34">
      <c r="A34" s="32">
        <v>30.0</v>
      </c>
      <c r="B34" s="31" t="s">
        <v>65</v>
      </c>
      <c r="C34" s="31" t="s">
        <v>15</v>
      </c>
      <c r="D34" s="31"/>
      <c r="E34" s="49"/>
      <c r="F34" s="49"/>
      <c r="G34" s="49"/>
      <c r="H34" s="95">
        <v>584.0</v>
      </c>
      <c r="I34" s="50"/>
      <c r="J34" s="50"/>
      <c r="K34" s="53">
        <v>607.0</v>
      </c>
      <c r="L34" s="54"/>
      <c r="M34" s="54"/>
      <c r="N34" s="97"/>
      <c r="O34" s="97"/>
      <c r="P34" s="97"/>
      <c r="Q34" s="30">
        <f t="shared" si="1"/>
        <v>297.75</v>
      </c>
      <c r="R34" s="2">
        <f t="shared" si="2"/>
        <v>0</v>
      </c>
      <c r="S34" s="2">
        <f t="shared" si="3"/>
        <v>297.75</v>
      </c>
    </row>
    <row r="35">
      <c r="A35" s="21">
        <v>31.0</v>
      </c>
      <c r="B35" s="22" t="s">
        <v>149</v>
      </c>
      <c r="C35" s="22" t="s">
        <v>15</v>
      </c>
      <c r="D35" s="22"/>
      <c r="E35" s="24">
        <v>571.0</v>
      </c>
      <c r="F35" s="25"/>
      <c r="G35" s="25"/>
      <c r="H35" s="26">
        <v>589.0</v>
      </c>
      <c r="I35" s="27"/>
      <c r="J35" s="27"/>
      <c r="K35" s="47"/>
      <c r="L35" s="47"/>
      <c r="M35" s="47"/>
      <c r="N35" s="30"/>
      <c r="O35" s="30"/>
      <c r="P35" s="30"/>
      <c r="Q35" s="30">
        <f t="shared" si="1"/>
        <v>290</v>
      </c>
      <c r="R35" s="2">
        <f t="shared" si="2"/>
        <v>0</v>
      </c>
      <c r="S35" s="2">
        <f t="shared" si="3"/>
        <v>290</v>
      </c>
    </row>
    <row r="36">
      <c r="A36" s="32">
        <v>32.0</v>
      </c>
      <c r="B36" s="22" t="s">
        <v>71</v>
      </c>
      <c r="C36" s="22" t="s">
        <v>67</v>
      </c>
      <c r="D36" s="22"/>
      <c r="E36" s="24">
        <v>555.0</v>
      </c>
      <c r="F36" s="25"/>
      <c r="G36" s="25"/>
      <c r="H36" s="26">
        <v>575.0</v>
      </c>
      <c r="I36" s="27"/>
      <c r="J36" s="27"/>
      <c r="K36" s="47"/>
      <c r="L36" s="47"/>
      <c r="M36" s="47"/>
      <c r="N36" s="30"/>
      <c r="O36" s="30"/>
      <c r="P36" s="30"/>
      <c r="Q36" s="30">
        <f t="shared" si="1"/>
        <v>282.5</v>
      </c>
      <c r="R36" s="2">
        <f t="shared" si="2"/>
        <v>0</v>
      </c>
      <c r="S36" s="2">
        <f t="shared" si="3"/>
        <v>282.5</v>
      </c>
    </row>
    <row r="37">
      <c r="A37" s="21">
        <v>33.0</v>
      </c>
      <c r="B37" s="22" t="s">
        <v>150</v>
      </c>
      <c r="C37" s="22" t="s">
        <v>51</v>
      </c>
      <c r="D37" s="22"/>
      <c r="E37" s="24">
        <v>546.0</v>
      </c>
      <c r="F37" s="25"/>
      <c r="G37" s="25"/>
      <c r="H37" s="27"/>
      <c r="I37" s="27"/>
      <c r="J37" s="27"/>
      <c r="K37" s="29"/>
      <c r="L37" s="47"/>
      <c r="M37" s="47"/>
      <c r="N37" s="94">
        <v>575.0</v>
      </c>
      <c r="O37" s="30"/>
      <c r="P37" s="30"/>
      <c r="Q37" s="30">
        <f t="shared" si="1"/>
        <v>280.25</v>
      </c>
      <c r="R37" s="2">
        <f t="shared" si="2"/>
        <v>0</v>
      </c>
      <c r="S37" s="2">
        <f t="shared" si="3"/>
        <v>280.25</v>
      </c>
    </row>
    <row r="38">
      <c r="A38" s="32">
        <v>34.0</v>
      </c>
      <c r="B38" s="22" t="s">
        <v>151</v>
      </c>
      <c r="C38" s="22" t="s">
        <v>67</v>
      </c>
      <c r="D38" s="22"/>
      <c r="E38" s="24">
        <v>571.0</v>
      </c>
      <c r="F38" s="25"/>
      <c r="G38" s="25"/>
      <c r="H38" s="26">
        <v>540.0</v>
      </c>
      <c r="I38" s="27"/>
      <c r="J38" s="27"/>
      <c r="K38" s="47"/>
      <c r="L38" s="47"/>
      <c r="M38" s="47"/>
      <c r="N38" s="30"/>
      <c r="O38" s="30"/>
      <c r="P38" s="30"/>
      <c r="Q38" s="30">
        <f t="shared" si="1"/>
        <v>277.75</v>
      </c>
      <c r="R38" s="2">
        <f t="shared" si="2"/>
        <v>0</v>
      </c>
      <c r="S38" s="2">
        <f t="shared" si="3"/>
        <v>277.75</v>
      </c>
    </row>
    <row r="39">
      <c r="A39" s="21">
        <v>35.0</v>
      </c>
      <c r="B39" s="31" t="s">
        <v>152</v>
      </c>
      <c r="C39" s="31" t="s">
        <v>51</v>
      </c>
      <c r="D39" s="31"/>
      <c r="E39" s="49"/>
      <c r="F39" s="49"/>
      <c r="G39" s="49"/>
      <c r="H39" s="95">
        <v>555.0</v>
      </c>
      <c r="I39" s="50"/>
      <c r="J39" s="50"/>
      <c r="K39" s="53"/>
      <c r="L39" s="54"/>
      <c r="M39" s="54"/>
      <c r="N39" s="96">
        <v>551.0</v>
      </c>
      <c r="O39" s="97"/>
      <c r="P39" s="97"/>
      <c r="Q39" s="30">
        <f t="shared" si="1"/>
        <v>276.5</v>
      </c>
      <c r="R39" s="2">
        <f t="shared" si="2"/>
        <v>0</v>
      </c>
      <c r="S39" s="2">
        <f t="shared" si="3"/>
        <v>276.5</v>
      </c>
    </row>
    <row r="40">
      <c r="A40" s="32">
        <v>36.0</v>
      </c>
      <c r="B40" s="22" t="s">
        <v>153</v>
      </c>
      <c r="C40" s="22" t="s">
        <v>15</v>
      </c>
      <c r="D40" s="22"/>
      <c r="E40" s="24">
        <v>570.0</v>
      </c>
      <c r="F40" s="25"/>
      <c r="G40" s="25"/>
      <c r="H40" s="26">
        <v>529.0</v>
      </c>
      <c r="I40" s="27"/>
      <c r="J40" s="27"/>
      <c r="K40" s="47"/>
      <c r="L40" s="47"/>
      <c r="M40" s="47"/>
      <c r="N40" s="30"/>
      <c r="O40" s="30"/>
      <c r="P40" s="30"/>
      <c r="Q40" s="30">
        <f t="shared" si="1"/>
        <v>274.75</v>
      </c>
      <c r="R40" s="2">
        <f t="shared" si="2"/>
        <v>0</v>
      </c>
      <c r="S40" s="2">
        <f t="shared" si="3"/>
        <v>274.75</v>
      </c>
    </row>
    <row r="41">
      <c r="A41" s="21">
        <v>37.0</v>
      </c>
      <c r="B41" s="31" t="s">
        <v>154</v>
      </c>
      <c r="C41" s="31" t="s">
        <v>39</v>
      </c>
      <c r="D41" s="31"/>
      <c r="E41" s="49"/>
      <c r="F41" s="49"/>
      <c r="G41" s="49"/>
      <c r="H41" s="95">
        <v>541.0</v>
      </c>
      <c r="I41" s="50"/>
      <c r="J41" s="50"/>
      <c r="K41" s="53">
        <v>529.0</v>
      </c>
      <c r="L41" s="54"/>
      <c r="M41" s="54"/>
      <c r="N41" s="97"/>
      <c r="O41" s="97"/>
      <c r="P41" s="97"/>
      <c r="Q41" s="30">
        <f t="shared" si="1"/>
        <v>267.5</v>
      </c>
      <c r="R41" s="2">
        <f t="shared" si="2"/>
        <v>0</v>
      </c>
      <c r="S41" s="2">
        <f t="shared" si="3"/>
        <v>267.5</v>
      </c>
    </row>
    <row r="42">
      <c r="A42" s="32">
        <v>38.0</v>
      </c>
      <c r="B42" s="31" t="s">
        <v>155</v>
      </c>
      <c r="C42" s="31" t="s">
        <v>72</v>
      </c>
      <c r="D42" s="31"/>
      <c r="E42" s="49"/>
      <c r="F42" s="49"/>
      <c r="G42" s="49"/>
      <c r="H42" s="50"/>
      <c r="I42" s="50"/>
      <c r="J42" s="50"/>
      <c r="K42" s="53">
        <v>509.0</v>
      </c>
      <c r="L42" s="54"/>
      <c r="M42" s="54"/>
      <c r="N42" s="96">
        <v>521.0</v>
      </c>
      <c r="O42" s="97"/>
      <c r="P42" s="97"/>
      <c r="Q42" s="30">
        <f t="shared" si="1"/>
        <v>257.5</v>
      </c>
      <c r="R42" s="2">
        <f t="shared" si="2"/>
        <v>0</v>
      </c>
      <c r="S42" s="2">
        <f t="shared" si="3"/>
        <v>257.5</v>
      </c>
    </row>
    <row r="43">
      <c r="A43" s="21">
        <v>39.0</v>
      </c>
      <c r="B43" s="22" t="s">
        <v>156</v>
      </c>
      <c r="C43" s="22" t="s">
        <v>44</v>
      </c>
      <c r="D43" s="22"/>
      <c r="E43" s="24">
        <v>527.0</v>
      </c>
      <c r="F43" s="25"/>
      <c r="G43" s="25"/>
      <c r="H43" s="26">
        <v>501.0</v>
      </c>
      <c r="I43" s="27"/>
      <c r="J43" s="27"/>
      <c r="K43" s="47"/>
      <c r="L43" s="47"/>
      <c r="M43" s="47"/>
      <c r="N43" s="30"/>
      <c r="O43" s="30"/>
      <c r="P43" s="30"/>
      <c r="Q43" s="30">
        <f t="shared" si="1"/>
        <v>257</v>
      </c>
      <c r="R43" s="2">
        <f t="shared" si="2"/>
        <v>0</v>
      </c>
      <c r="S43" s="2">
        <f t="shared" si="3"/>
        <v>257</v>
      </c>
    </row>
    <row r="44">
      <c r="A44" s="32">
        <v>40.0</v>
      </c>
      <c r="B44" s="22" t="s">
        <v>157</v>
      </c>
      <c r="C44" s="22" t="s">
        <v>18</v>
      </c>
      <c r="D44" s="22"/>
      <c r="E44" s="24">
        <v>562.0</v>
      </c>
      <c r="F44" s="25"/>
      <c r="G44" s="25"/>
      <c r="H44" s="26">
        <v>449.0</v>
      </c>
      <c r="I44" s="27"/>
      <c r="J44" s="27"/>
      <c r="K44" s="47"/>
      <c r="L44" s="47"/>
      <c r="M44" s="47"/>
      <c r="N44" s="30"/>
      <c r="O44" s="30"/>
      <c r="P44" s="30"/>
      <c r="Q44" s="30">
        <f t="shared" si="1"/>
        <v>252.75</v>
      </c>
      <c r="R44" s="2">
        <f t="shared" si="2"/>
        <v>0</v>
      </c>
      <c r="S44" s="2">
        <f t="shared" si="3"/>
        <v>252.75</v>
      </c>
    </row>
    <row r="45">
      <c r="A45" s="21">
        <v>41.0</v>
      </c>
      <c r="B45" s="22" t="s">
        <v>158</v>
      </c>
      <c r="C45" s="22" t="s">
        <v>39</v>
      </c>
      <c r="D45" s="22"/>
      <c r="E45" s="24">
        <v>588.0</v>
      </c>
      <c r="F45" s="25"/>
      <c r="G45" s="25"/>
      <c r="H45" s="27"/>
      <c r="I45" s="27"/>
      <c r="J45" s="15"/>
      <c r="K45" s="47"/>
      <c r="L45" s="47"/>
      <c r="M45" s="47"/>
      <c r="N45" s="30"/>
      <c r="O45" s="30"/>
      <c r="P45" s="30"/>
      <c r="Q45" s="30">
        <f t="shared" si="1"/>
        <v>147</v>
      </c>
      <c r="R45" s="2">
        <f t="shared" si="2"/>
        <v>0</v>
      </c>
      <c r="S45" s="2">
        <f t="shared" si="3"/>
        <v>147</v>
      </c>
    </row>
    <row r="46">
      <c r="A46" s="32">
        <v>42.0</v>
      </c>
      <c r="B46" s="31" t="s">
        <v>68</v>
      </c>
      <c r="C46" s="31" t="s">
        <v>18</v>
      </c>
      <c r="D46" s="31"/>
      <c r="E46" s="49"/>
      <c r="F46" s="49"/>
      <c r="G46" s="49"/>
      <c r="H46" s="95">
        <v>574.0</v>
      </c>
      <c r="I46" s="50"/>
      <c r="J46" s="50"/>
      <c r="K46" s="54"/>
      <c r="L46" s="54"/>
      <c r="M46" s="54"/>
      <c r="N46" s="97"/>
      <c r="O46" s="97"/>
      <c r="P46" s="97"/>
      <c r="Q46" s="30">
        <f t="shared" si="1"/>
        <v>143.5</v>
      </c>
      <c r="R46" s="2">
        <f t="shared" si="2"/>
        <v>0</v>
      </c>
      <c r="S46" s="2">
        <f t="shared" si="3"/>
        <v>143.5</v>
      </c>
    </row>
    <row r="47">
      <c r="A47" s="21">
        <v>43.0</v>
      </c>
      <c r="B47" s="31" t="s">
        <v>159</v>
      </c>
      <c r="C47" s="31" t="s">
        <v>160</v>
      </c>
      <c r="D47" s="31"/>
      <c r="E47" s="49"/>
      <c r="F47" s="49"/>
      <c r="G47" s="49"/>
      <c r="H47" s="50"/>
      <c r="I47" s="50"/>
      <c r="J47" s="50"/>
      <c r="K47" s="53">
        <v>569.0</v>
      </c>
      <c r="L47" s="54"/>
      <c r="M47" s="54"/>
      <c r="N47" s="97"/>
      <c r="O47" s="97"/>
      <c r="P47" s="97"/>
      <c r="Q47" s="30">
        <f t="shared" si="1"/>
        <v>142.25</v>
      </c>
      <c r="R47" s="2">
        <f t="shared" si="2"/>
        <v>0</v>
      </c>
      <c r="S47" s="2">
        <f t="shared" si="3"/>
        <v>142.25</v>
      </c>
    </row>
    <row r="48">
      <c r="A48" s="32">
        <v>44.0</v>
      </c>
      <c r="B48" s="31" t="s">
        <v>161</v>
      </c>
      <c r="C48" s="31" t="s">
        <v>32</v>
      </c>
      <c r="D48" s="31"/>
      <c r="E48" s="49"/>
      <c r="F48" s="49"/>
      <c r="G48" s="49"/>
      <c r="H48" s="95">
        <v>562.0</v>
      </c>
      <c r="I48" s="50"/>
      <c r="J48" s="50"/>
      <c r="K48" s="54"/>
      <c r="L48" s="54"/>
      <c r="M48" s="54"/>
      <c r="N48" s="97"/>
      <c r="O48" s="97"/>
      <c r="P48" s="97"/>
      <c r="Q48" s="30">
        <f t="shared" si="1"/>
        <v>140.5</v>
      </c>
      <c r="R48" s="2">
        <f t="shared" si="2"/>
        <v>0</v>
      </c>
      <c r="S48" s="2">
        <f t="shared" si="3"/>
        <v>140.5</v>
      </c>
    </row>
    <row r="49">
      <c r="A49" s="21">
        <v>45.0</v>
      </c>
      <c r="B49" s="22" t="s">
        <v>162</v>
      </c>
      <c r="C49" s="22" t="s">
        <v>18</v>
      </c>
      <c r="D49" s="22"/>
      <c r="E49" s="24">
        <v>549.0</v>
      </c>
      <c r="F49" s="25"/>
      <c r="G49" s="25"/>
      <c r="H49" s="27"/>
      <c r="I49" s="27"/>
      <c r="J49" s="27"/>
      <c r="K49" s="47"/>
      <c r="L49" s="47"/>
      <c r="M49" s="47"/>
      <c r="N49" s="30"/>
      <c r="O49" s="30"/>
      <c r="P49" s="30"/>
      <c r="Q49" s="30">
        <f t="shared" si="1"/>
        <v>137.25</v>
      </c>
      <c r="R49" s="2">
        <f t="shared" si="2"/>
        <v>0</v>
      </c>
      <c r="S49" s="2">
        <f t="shared" si="3"/>
        <v>137.25</v>
      </c>
    </row>
    <row r="50">
      <c r="A50" s="32">
        <v>46.0</v>
      </c>
      <c r="B50" s="31" t="s">
        <v>163</v>
      </c>
      <c r="C50" s="31" t="s">
        <v>32</v>
      </c>
      <c r="D50" s="31"/>
      <c r="E50" s="49"/>
      <c r="F50" s="49"/>
      <c r="G50" s="49"/>
      <c r="H50" s="50"/>
      <c r="I50" s="50"/>
      <c r="J50" s="50"/>
      <c r="K50" s="53">
        <v>534.0</v>
      </c>
      <c r="L50" s="54"/>
      <c r="M50" s="54"/>
      <c r="N50" s="97"/>
      <c r="O50" s="97"/>
      <c r="P50" s="97"/>
      <c r="Q50" s="30">
        <f t="shared" si="1"/>
        <v>133.5</v>
      </c>
      <c r="R50" s="2">
        <f t="shared" si="2"/>
        <v>0</v>
      </c>
      <c r="S50" s="2">
        <f t="shared" si="3"/>
        <v>133.5</v>
      </c>
    </row>
    <row r="51">
      <c r="A51" s="21">
        <v>47.0</v>
      </c>
      <c r="B51" s="31" t="s">
        <v>164</v>
      </c>
      <c r="C51" s="31" t="s">
        <v>51</v>
      </c>
      <c r="D51" s="31"/>
      <c r="E51" s="49"/>
      <c r="F51" s="49"/>
      <c r="G51" s="49"/>
      <c r="H51" s="95">
        <v>506.0</v>
      </c>
      <c r="I51" s="50"/>
      <c r="J51" s="50"/>
      <c r="K51" s="54"/>
      <c r="L51" s="54"/>
      <c r="M51" s="54"/>
      <c r="N51" s="97"/>
      <c r="O51" s="97"/>
      <c r="P51" s="97"/>
      <c r="Q51" s="30">
        <f t="shared" si="1"/>
        <v>126.5</v>
      </c>
      <c r="R51" s="2">
        <f t="shared" si="2"/>
        <v>0</v>
      </c>
      <c r="S51" s="2">
        <f t="shared" si="3"/>
        <v>126.5</v>
      </c>
    </row>
    <row r="52">
      <c r="A52" s="32">
        <v>48.0</v>
      </c>
      <c r="B52" s="31" t="s">
        <v>165</v>
      </c>
      <c r="C52" s="31" t="s">
        <v>32</v>
      </c>
      <c r="D52" s="31"/>
      <c r="E52" s="49"/>
      <c r="F52" s="49"/>
      <c r="G52" s="49"/>
      <c r="H52" s="50"/>
      <c r="I52" s="50"/>
      <c r="J52" s="50"/>
      <c r="K52" s="53">
        <v>479.0</v>
      </c>
      <c r="L52" s="54"/>
      <c r="M52" s="54"/>
      <c r="N52" s="97"/>
      <c r="O52" s="97"/>
      <c r="P52" s="97"/>
      <c r="Q52" s="30">
        <f t="shared" si="1"/>
        <v>119.75</v>
      </c>
      <c r="R52" s="2">
        <f t="shared" si="2"/>
        <v>0</v>
      </c>
      <c r="S52" s="2">
        <f t="shared" si="3"/>
        <v>119.75</v>
      </c>
    </row>
    <row r="53">
      <c r="A53" s="21">
        <v>49.0</v>
      </c>
      <c r="B53" s="22" t="s">
        <v>166</v>
      </c>
      <c r="C53" s="22" t="s">
        <v>67</v>
      </c>
      <c r="D53" s="22"/>
      <c r="E53" s="24">
        <v>475.0</v>
      </c>
      <c r="F53" s="25"/>
      <c r="G53" s="25"/>
      <c r="H53" s="27"/>
      <c r="I53" s="27"/>
      <c r="J53" s="27"/>
      <c r="K53" s="47"/>
      <c r="L53" s="47"/>
      <c r="M53" s="47"/>
      <c r="N53" s="30"/>
      <c r="O53" s="30"/>
      <c r="P53" s="30"/>
      <c r="Q53" s="30">
        <f t="shared" si="1"/>
        <v>118.75</v>
      </c>
      <c r="R53" s="2">
        <f t="shared" si="2"/>
        <v>0</v>
      </c>
      <c r="S53" s="2">
        <f t="shared" si="3"/>
        <v>118.75</v>
      </c>
    </row>
    <row r="54">
      <c r="A54" s="32">
        <v>50.0</v>
      </c>
      <c r="B54" s="22" t="s">
        <v>74</v>
      </c>
      <c r="C54" s="22" t="s">
        <v>15</v>
      </c>
      <c r="D54" s="22"/>
      <c r="E54" s="24">
        <v>472.0</v>
      </c>
      <c r="F54" s="25"/>
      <c r="G54" s="25"/>
      <c r="H54" s="27"/>
      <c r="I54" s="27"/>
      <c r="J54" s="27"/>
      <c r="K54" s="47"/>
      <c r="L54" s="47"/>
      <c r="M54" s="47"/>
      <c r="N54" s="30"/>
      <c r="O54" s="30"/>
      <c r="P54" s="30"/>
      <c r="Q54" s="30">
        <f t="shared" si="1"/>
        <v>118</v>
      </c>
      <c r="R54" s="2">
        <f t="shared" si="2"/>
        <v>0</v>
      </c>
      <c r="S54" s="2">
        <f t="shared" si="3"/>
        <v>118</v>
      </c>
    </row>
    <row r="55">
      <c r="A55" s="21">
        <v>51.0</v>
      </c>
      <c r="B55" s="31" t="s">
        <v>76</v>
      </c>
      <c r="C55" s="31" t="s">
        <v>39</v>
      </c>
      <c r="D55" s="31"/>
      <c r="E55" s="49"/>
      <c r="F55" s="49"/>
      <c r="G55" s="49"/>
      <c r="H55" s="95">
        <v>410.0</v>
      </c>
      <c r="I55" s="50"/>
      <c r="J55" s="50"/>
      <c r="K55" s="54"/>
      <c r="L55" s="54"/>
      <c r="M55" s="54"/>
      <c r="N55" s="97"/>
      <c r="O55" s="97"/>
      <c r="P55" s="97"/>
      <c r="Q55" s="30">
        <f t="shared" si="1"/>
        <v>102.5</v>
      </c>
      <c r="R55" s="2">
        <f t="shared" si="2"/>
        <v>0</v>
      </c>
      <c r="S55" s="2">
        <f t="shared" si="3"/>
        <v>102.5</v>
      </c>
    </row>
    <row r="56">
      <c r="A56" s="32">
        <v>52.0</v>
      </c>
      <c r="B56" s="55" t="s">
        <v>167</v>
      </c>
      <c r="C56" s="3" t="s">
        <v>168</v>
      </c>
      <c r="D56" s="3"/>
      <c r="E56" s="49"/>
      <c r="F56" s="49"/>
      <c r="G56" s="49"/>
      <c r="H56" s="50"/>
      <c r="I56" s="50"/>
      <c r="J56" s="50"/>
      <c r="K56" s="54"/>
      <c r="L56" s="54"/>
      <c r="M56" s="54"/>
      <c r="N56" s="98">
        <v>392.0</v>
      </c>
      <c r="O56" s="97"/>
      <c r="P56" s="97"/>
      <c r="Q56" s="30">
        <f t="shared" si="1"/>
        <v>98</v>
      </c>
      <c r="R56" s="2">
        <f t="shared" si="2"/>
        <v>0</v>
      </c>
      <c r="S56" s="2">
        <f t="shared" si="3"/>
        <v>98</v>
      </c>
    </row>
    <row r="57">
      <c r="A57" s="21">
        <v>53.0</v>
      </c>
      <c r="B57" s="55" t="s">
        <v>82</v>
      </c>
      <c r="C57" s="55" t="s">
        <v>169</v>
      </c>
      <c r="D57" s="55"/>
      <c r="E57" s="49"/>
      <c r="F57" s="49"/>
      <c r="G57" s="49"/>
      <c r="H57" s="50"/>
      <c r="I57" s="50"/>
      <c r="J57" s="50"/>
      <c r="K57" s="54"/>
      <c r="L57" s="54"/>
      <c r="M57" s="54"/>
      <c r="N57" s="98">
        <v>385.0</v>
      </c>
      <c r="O57" s="97"/>
      <c r="P57" s="97"/>
      <c r="Q57" s="30">
        <f t="shared" si="1"/>
        <v>96.25</v>
      </c>
      <c r="R57" s="2">
        <f t="shared" si="2"/>
        <v>0</v>
      </c>
      <c r="S57" s="2">
        <f t="shared" si="3"/>
        <v>96.25</v>
      </c>
    </row>
    <row r="58">
      <c r="A58" s="32">
        <v>54.0</v>
      </c>
      <c r="B58" s="55" t="s">
        <v>77</v>
      </c>
      <c r="C58" s="55" t="s">
        <v>60</v>
      </c>
      <c r="D58" s="55"/>
      <c r="E58" s="49"/>
      <c r="F58" s="49"/>
      <c r="G58" s="49"/>
      <c r="H58" s="50"/>
      <c r="I58" s="50"/>
      <c r="J58" s="50"/>
      <c r="K58" s="54"/>
      <c r="L58" s="54"/>
      <c r="M58" s="54"/>
      <c r="N58" s="98">
        <v>367.0</v>
      </c>
      <c r="O58" s="97"/>
      <c r="P58" s="97"/>
      <c r="Q58" s="30">
        <f t="shared" si="1"/>
        <v>91.75</v>
      </c>
      <c r="R58" s="2">
        <f t="shared" si="2"/>
        <v>0</v>
      </c>
      <c r="S58" s="2">
        <f t="shared" si="3"/>
        <v>91.75</v>
      </c>
    </row>
    <row r="59">
      <c r="A59" s="21">
        <v>55.0</v>
      </c>
      <c r="B59" s="3" t="s">
        <v>170</v>
      </c>
      <c r="C59" s="3" t="s">
        <v>168</v>
      </c>
      <c r="D59" s="3"/>
      <c r="E59" s="49"/>
      <c r="F59" s="49"/>
      <c r="G59" s="49"/>
      <c r="H59" s="50"/>
      <c r="I59" s="50"/>
      <c r="J59" s="50"/>
      <c r="K59" s="54"/>
      <c r="L59" s="54"/>
      <c r="M59" s="54"/>
      <c r="N59" s="30">
        <v>231.0</v>
      </c>
      <c r="O59" s="97"/>
      <c r="P59" s="97"/>
      <c r="Q59" s="30">
        <f t="shared" si="1"/>
        <v>57.75</v>
      </c>
      <c r="R59" s="2">
        <f t="shared" si="2"/>
        <v>0</v>
      </c>
      <c r="S59" s="2">
        <f t="shared" si="3"/>
        <v>57.75</v>
      </c>
    </row>
    <row r="60">
      <c r="A60" s="32">
        <v>56.0</v>
      </c>
      <c r="B60" s="55" t="s">
        <v>167</v>
      </c>
      <c r="C60" s="3" t="s">
        <v>168</v>
      </c>
      <c r="D60" s="3"/>
      <c r="E60" s="49"/>
      <c r="F60" s="49"/>
      <c r="G60" s="49"/>
      <c r="H60" s="50"/>
      <c r="I60" s="50"/>
      <c r="J60" s="50"/>
      <c r="K60" s="54"/>
      <c r="L60" s="54"/>
      <c r="M60" s="54"/>
      <c r="N60" s="97"/>
      <c r="O60" s="97"/>
      <c r="P60" s="97"/>
      <c r="Q60" s="30">
        <f t="shared" si="1"/>
        <v>0</v>
      </c>
      <c r="R60" s="2">
        <f t="shared" si="2"/>
        <v>0</v>
      </c>
      <c r="S60" s="2">
        <f t="shared" si="3"/>
        <v>0</v>
      </c>
    </row>
    <row r="61">
      <c r="A61" s="21">
        <v>57.0</v>
      </c>
      <c r="B61" s="55" t="s">
        <v>82</v>
      </c>
      <c r="C61" s="55" t="s">
        <v>169</v>
      </c>
      <c r="D61" s="55"/>
      <c r="E61" s="49"/>
      <c r="F61" s="49"/>
      <c r="G61" s="49"/>
      <c r="H61" s="50"/>
      <c r="I61" s="50"/>
      <c r="J61" s="50"/>
      <c r="K61" s="54"/>
      <c r="L61" s="54"/>
      <c r="M61" s="54"/>
      <c r="N61" s="97"/>
      <c r="O61" s="97"/>
      <c r="P61" s="97"/>
      <c r="Q61" s="30">
        <f t="shared" si="1"/>
        <v>0</v>
      </c>
      <c r="R61" s="2">
        <f t="shared" si="2"/>
        <v>0</v>
      </c>
      <c r="S61" s="2">
        <f t="shared" si="3"/>
        <v>0</v>
      </c>
    </row>
    <row r="62">
      <c r="A62" s="32">
        <v>58.0</v>
      </c>
      <c r="B62" s="55" t="s">
        <v>77</v>
      </c>
      <c r="C62" s="55" t="s">
        <v>60</v>
      </c>
      <c r="D62" s="55"/>
      <c r="E62" s="49"/>
      <c r="F62" s="49"/>
      <c r="G62" s="49"/>
      <c r="H62" s="50"/>
      <c r="I62" s="50"/>
      <c r="J62" s="50"/>
      <c r="K62" s="54"/>
      <c r="L62" s="54"/>
      <c r="M62" s="54"/>
      <c r="N62" s="97"/>
      <c r="O62" s="97"/>
      <c r="P62" s="97"/>
      <c r="Q62" s="30">
        <f t="shared" si="1"/>
        <v>0</v>
      </c>
      <c r="R62" s="2">
        <f t="shared" si="2"/>
        <v>0</v>
      </c>
      <c r="S62" s="2">
        <f t="shared" si="3"/>
        <v>0</v>
      </c>
    </row>
    <row r="63">
      <c r="A63" s="21">
        <v>59.0</v>
      </c>
      <c r="B63" s="3" t="s">
        <v>170</v>
      </c>
      <c r="C63" s="3" t="s">
        <v>168</v>
      </c>
      <c r="D63" s="3"/>
      <c r="E63" s="49"/>
      <c r="F63" s="49"/>
      <c r="G63" s="49"/>
      <c r="H63" s="50"/>
      <c r="I63" s="50"/>
      <c r="J63" s="50"/>
      <c r="K63" s="54"/>
      <c r="L63" s="54"/>
      <c r="M63" s="54"/>
      <c r="N63" s="97"/>
      <c r="O63" s="97"/>
      <c r="P63" s="97"/>
      <c r="Q63" s="30">
        <f t="shared" si="1"/>
        <v>0</v>
      </c>
      <c r="R63" s="2">
        <f t="shared" si="2"/>
        <v>0</v>
      </c>
      <c r="S63" s="2">
        <f t="shared" si="3"/>
        <v>0</v>
      </c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4" width="6.0"/>
    <col customWidth="1" min="15" max="16" width="5.25"/>
  </cols>
  <sheetData>
    <row r="1">
      <c r="E1" s="1"/>
    </row>
    <row r="2">
      <c r="A2" s="1"/>
      <c r="E2" s="1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8" t="s">
        <v>2</v>
      </c>
      <c r="L3" s="5"/>
      <c r="M3" s="6"/>
      <c r="N3" s="9" t="s">
        <v>3</v>
      </c>
      <c r="O3" s="5"/>
      <c r="P3" s="6"/>
      <c r="Q3" s="90"/>
      <c r="R3" s="90"/>
      <c r="S3" s="3"/>
    </row>
    <row r="4">
      <c r="A4" s="99" t="s">
        <v>4</v>
      </c>
      <c r="B4" s="99" t="s">
        <v>5</v>
      </c>
      <c r="C4" s="99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16" t="s">
        <v>8</v>
      </c>
      <c r="L4" s="16" t="s">
        <v>9</v>
      </c>
      <c r="M4" s="16" t="s">
        <v>10</v>
      </c>
      <c r="N4" s="17" t="s">
        <v>8</v>
      </c>
      <c r="O4" s="17" t="s">
        <v>9</v>
      </c>
      <c r="P4" s="17" t="s">
        <v>10</v>
      </c>
      <c r="Q4" s="18" t="s">
        <v>11</v>
      </c>
      <c r="R4" s="19" t="s">
        <v>12</v>
      </c>
      <c r="S4" s="20" t="s">
        <v>13</v>
      </c>
    </row>
    <row r="5">
      <c r="A5" s="21">
        <v>1.0</v>
      </c>
      <c r="B5" s="23" t="s">
        <v>171</v>
      </c>
      <c r="C5" s="23" t="s">
        <v>32</v>
      </c>
      <c r="D5" s="23" t="s">
        <v>21</v>
      </c>
      <c r="E5" s="24">
        <v>605.0</v>
      </c>
      <c r="F5" s="24">
        <v>3.0</v>
      </c>
      <c r="G5" s="43">
        <v>50.0</v>
      </c>
      <c r="H5" s="26">
        <v>598.0</v>
      </c>
      <c r="I5" s="26">
        <v>7.0</v>
      </c>
      <c r="J5" s="44">
        <v>10.0</v>
      </c>
      <c r="K5" s="28">
        <v>577.0</v>
      </c>
      <c r="L5" s="28">
        <v>1.0</v>
      </c>
      <c r="M5" s="28">
        <v>70.0</v>
      </c>
      <c r="N5" s="29">
        <v>585.0</v>
      </c>
      <c r="O5" s="45">
        <v>3.0</v>
      </c>
      <c r="P5" s="45">
        <v>50.0</v>
      </c>
      <c r="Q5" s="61">
        <f t="shared" ref="Q5:Q62" si="1">(E5+H5+N5+K5)/4</f>
        <v>591.25</v>
      </c>
      <c r="R5" s="61">
        <f t="shared" ref="R5:R62" si="2">G5+J5+P5+M5</f>
        <v>180</v>
      </c>
      <c r="S5" s="61">
        <f t="shared" ref="S5:S62" si="3">Q5+R5</f>
        <v>771.25</v>
      </c>
    </row>
    <row r="6">
      <c r="A6" s="32">
        <v>2.0</v>
      </c>
      <c r="B6" s="23" t="s">
        <v>172</v>
      </c>
      <c r="C6" s="23" t="s">
        <v>18</v>
      </c>
      <c r="D6" s="23" t="s">
        <v>40</v>
      </c>
      <c r="E6" s="24">
        <v>492.0</v>
      </c>
      <c r="F6" s="100"/>
      <c r="G6" s="100"/>
      <c r="H6" s="60">
        <v>600.0</v>
      </c>
      <c r="I6" s="60">
        <v>2.0</v>
      </c>
      <c r="J6" s="60">
        <v>60.0</v>
      </c>
      <c r="K6" s="28">
        <v>587.0</v>
      </c>
      <c r="L6" s="28">
        <v>3.0</v>
      </c>
      <c r="M6" s="28">
        <v>50.0</v>
      </c>
      <c r="N6" s="29">
        <v>586.0</v>
      </c>
      <c r="O6" s="101">
        <v>5.0</v>
      </c>
      <c r="P6" s="101">
        <v>30.0</v>
      </c>
      <c r="Q6" s="61">
        <f t="shared" si="1"/>
        <v>566.25</v>
      </c>
      <c r="R6" s="61">
        <f t="shared" si="2"/>
        <v>140</v>
      </c>
      <c r="S6" s="61">
        <f t="shared" si="3"/>
        <v>706.25</v>
      </c>
    </row>
    <row r="7">
      <c r="A7" s="21">
        <v>3.0</v>
      </c>
      <c r="B7" s="23" t="s">
        <v>119</v>
      </c>
      <c r="C7" s="23" t="s">
        <v>39</v>
      </c>
      <c r="D7" s="23" t="s">
        <v>40</v>
      </c>
      <c r="E7" s="24">
        <v>618.0</v>
      </c>
      <c r="F7" s="24">
        <v>6.0</v>
      </c>
      <c r="G7" s="43">
        <v>20.0</v>
      </c>
      <c r="H7" s="26">
        <v>627.0</v>
      </c>
      <c r="I7" s="26">
        <v>5.0</v>
      </c>
      <c r="J7" s="44">
        <v>30.0</v>
      </c>
      <c r="K7" s="102">
        <v>575.0</v>
      </c>
      <c r="L7" s="102">
        <v>8.0</v>
      </c>
      <c r="M7" s="102">
        <v>30.0</v>
      </c>
      <c r="N7" s="29">
        <v>563.0</v>
      </c>
      <c r="O7" s="45">
        <v>6.0</v>
      </c>
      <c r="P7" s="45">
        <v>20.0</v>
      </c>
      <c r="Q7" s="61">
        <f t="shared" si="1"/>
        <v>595.75</v>
      </c>
      <c r="R7" s="61">
        <f t="shared" si="2"/>
        <v>100</v>
      </c>
      <c r="S7" s="61">
        <f t="shared" si="3"/>
        <v>695.75</v>
      </c>
    </row>
    <row r="8">
      <c r="A8" s="32">
        <v>4.0</v>
      </c>
      <c r="B8" s="23" t="s">
        <v>173</v>
      </c>
      <c r="C8" s="23" t="s">
        <v>67</v>
      </c>
      <c r="D8" s="23" t="s">
        <v>34</v>
      </c>
      <c r="E8" s="24">
        <v>586.0</v>
      </c>
      <c r="F8" s="25"/>
      <c r="G8" s="14"/>
      <c r="H8" s="44">
        <v>611.0</v>
      </c>
      <c r="I8" s="60">
        <v>6.0</v>
      </c>
      <c r="J8" s="60">
        <v>20.0</v>
      </c>
      <c r="K8" s="28">
        <v>594.0</v>
      </c>
      <c r="L8" s="28"/>
      <c r="M8" s="28"/>
      <c r="N8" s="29">
        <v>603.0</v>
      </c>
      <c r="O8" s="45">
        <v>2.0</v>
      </c>
      <c r="P8" s="45">
        <v>60.0</v>
      </c>
      <c r="Q8" s="61">
        <f t="shared" si="1"/>
        <v>598.5</v>
      </c>
      <c r="R8" s="61">
        <f t="shared" si="2"/>
        <v>80</v>
      </c>
      <c r="S8" s="61">
        <f t="shared" si="3"/>
        <v>678.5</v>
      </c>
    </row>
    <row r="9">
      <c r="A9" s="21">
        <v>5.0</v>
      </c>
      <c r="B9" s="23" t="s">
        <v>121</v>
      </c>
      <c r="C9" s="23" t="s">
        <v>39</v>
      </c>
      <c r="D9" s="23" t="s">
        <v>40</v>
      </c>
      <c r="E9" s="24">
        <v>571.0</v>
      </c>
      <c r="F9" s="24">
        <v>2.0</v>
      </c>
      <c r="G9" s="43">
        <v>60.0</v>
      </c>
      <c r="H9" s="44">
        <v>577.0</v>
      </c>
      <c r="I9" s="103"/>
      <c r="J9" s="103"/>
      <c r="K9" s="104">
        <v>533.0</v>
      </c>
      <c r="L9" s="28"/>
      <c r="M9" s="28"/>
      <c r="N9" s="101">
        <v>505.0</v>
      </c>
      <c r="O9" s="105"/>
      <c r="P9" s="105"/>
      <c r="Q9" s="61">
        <f t="shared" si="1"/>
        <v>546.5</v>
      </c>
      <c r="R9" s="61">
        <f t="shared" si="2"/>
        <v>60</v>
      </c>
      <c r="S9" s="61">
        <f t="shared" si="3"/>
        <v>606.5</v>
      </c>
    </row>
    <row r="10">
      <c r="A10" s="32">
        <v>6.0</v>
      </c>
      <c r="B10" s="23" t="s">
        <v>120</v>
      </c>
      <c r="C10" s="23" t="s">
        <v>39</v>
      </c>
      <c r="D10" s="23" t="s">
        <v>34</v>
      </c>
      <c r="E10" s="24">
        <v>563.0</v>
      </c>
      <c r="F10" s="106">
        <v>7.0</v>
      </c>
      <c r="G10" s="106">
        <v>10.0</v>
      </c>
      <c r="H10" s="26">
        <v>545.0</v>
      </c>
      <c r="I10" s="27"/>
      <c r="J10" s="15"/>
      <c r="K10" s="107">
        <v>557.0</v>
      </c>
      <c r="L10" s="28"/>
      <c r="M10" s="28"/>
      <c r="N10" s="29">
        <v>565.0</v>
      </c>
      <c r="O10" s="105"/>
      <c r="P10" s="105"/>
      <c r="Q10" s="61">
        <f t="shared" si="1"/>
        <v>557.5</v>
      </c>
      <c r="R10" s="61">
        <f t="shared" si="2"/>
        <v>10</v>
      </c>
      <c r="S10" s="61">
        <f t="shared" si="3"/>
        <v>567.5</v>
      </c>
    </row>
    <row r="11">
      <c r="A11" s="21">
        <v>7.0</v>
      </c>
      <c r="B11" s="23" t="s">
        <v>174</v>
      </c>
      <c r="C11" s="23" t="s">
        <v>36</v>
      </c>
      <c r="D11" s="23" t="s">
        <v>21</v>
      </c>
      <c r="E11" s="24">
        <v>539.0</v>
      </c>
      <c r="F11" s="100"/>
      <c r="G11" s="100"/>
      <c r="H11" s="26">
        <v>571.0</v>
      </c>
      <c r="I11" s="103"/>
      <c r="J11" s="103"/>
      <c r="K11" s="28">
        <v>590.0</v>
      </c>
      <c r="L11" s="28"/>
      <c r="M11" s="28"/>
      <c r="N11" s="29">
        <v>563.0</v>
      </c>
      <c r="O11" s="105"/>
      <c r="P11" s="105"/>
      <c r="Q11" s="61">
        <f t="shared" si="1"/>
        <v>565.75</v>
      </c>
      <c r="R11" s="61">
        <f t="shared" si="2"/>
        <v>0</v>
      </c>
      <c r="S11" s="61">
        <f t="shared" si="3"/>
        <v>565.75</v>
      </c>
    </row>
    <row r="12">
      <c r="A12" s="32">
        <v>8.0</v>
      </c>
      <c r="B12" s="23" t="s">
        <v>175</v>
      </c>
      <c r="C12" s="23" t="s">
        <v>36</v>
      </c>
      <c r="D12" s="23" t="s">
        <v>21</v>
      </c>
      <c r="E12" s="24">
        <v>508.0</v>
      </c>
      <c r="F12" s="100"/>
      <c r="G12" s="100"/>
      <c r="H12" s="26">
        <v>580.0</v>
      </c>
      <c r="I12" s="103"/>
      <c r="J12" s="103"/>
      <c r="K12" s="28">
        <v>550.0</v>
      </c>
      <c r="L12" s="28">
        <v>8.0</v>
      </c>
      <c r="M12" s="28">
        <v>5.0</v>
      </c>
      <c r="N12" s="101">
        <v>546.0</v>
      </c>
      <c r="O12" s="101">
        <v>8.0</v>
      </c>
      <c r="P12" s="101">
        <v>5.0</v>
      </c>
      <c r="Q12" s="61">
        <f t="shared" si="1"/>
        <v>546</v>
      </c>
      <c r="R12" s="61">
        <f t="shared" si="2"/>
        <v>10</v>
      </c>
      <c r="S12" s="61">
        <f t="shared" si="3"/>
        <v>556</v>
      </c>
    </row>
    <row r="13">
      <c r="A13" s="21">
        <v>9.0</v>
      </c>
      <c r="B13" s="23" t="s">
        <v>176</v>
      </c>
      <c r="C13" s="23" t="s">
        <v>67</v>
      </c>
      <c r="D13" s="23" t="s">
        <v>34</v>
      </c>
      <c r="E13" s="24">
        <v>540.0</v>
      </c>
      <c r="F13" s="100"/>
      <c r="G13" s="100"/>
      <c r="H13" s="26">
        <v>504.0</v>
      </c>
      <c r="I13" s="103"/>
      <c r="J13" s="103"/>
      <c r="K13" s="28">
        <v>534.0</v>
      </c>
      <c r="L13" s="28"/>
      <c r="M13" s="28"/>
      <c r="N13" s="29">
        <v>527.0</v>
      </c>
      <c r="O13" s="105"/>
      <c r="P13" s="105"/>
      <c r="Q13" s="61">
        <f t="shared" si="1"/>
        <v>526.25</v>
      </c>
      <c r="R13" s="61">
        <f t="shared" si="2"/>
        <v>0</v>
      </c>
      <c r="S13" s="61">
        <f t="shared" si="3"/>
        <v>526.25</v>
      </c>
    </row>
    <row r="14">
      <c r="A14" s="32">
        <v>10.0</v>
      </c>
      <c r="B14" s="23" t="s">
        <v>177</v>
      </c>
      <c r="C14" s="23" t="s">
        <v>36</v>
      </c>
      <c r="D14" s="23"/>
      <c r="E14" s="24">
        <v>523.0</v>
      </c>
      <c r="F14" s="100"/>
      <c r="G14" s="100"/>
      <c r="H14" s="26">
        <v>513.0</v>
      </c>
      <c r="I14" s="103"/>
      <c r="J14" s="103"/>
      <c r="K14" s="28">
        <v>515.0</v>
      </c>
      <c r="L14" s="28"/>
      <c r="M14" s="28"/>
      <c r="N14" s="101">
        <v>449.0</v>
      </c>
      <c r="O14" s="105"/>
      <c r="P14" s="105"/>
      <c r="Q14" s="61">
        <f t="shared" si="1"/>
        <v>500</v>
      </c>
      <c r="R14" s="61">
        <f t="shared" si="2"/>
        <v>0</v>
      </c>
      <c r="S14" s="61">
        <f t="shared" si="3"/>
        <v>500</v>
      </c>
    </row>
    <row r="15">
      <c r="A15" s="21">
        <v>11.0</v>
      </c>
      <c r="B15" s="23" t="s">
        <v>178</v>
      </c>
      <c r="C15" s="23" t="s">
        <v>15</v>
      </c>
      <c r="D15" s="23" t="s">
        <v>34</v>
      </c>
      <c r="E15" s="24">
        <v>565.0</v>
      </c>
      <c r="F15" s="106">
        <v>5.0</v>
      </c>
      <c r="G15" s="106">
        <v>30.0</v>
      </c>
      <c r="H15" s="26">
        <v>586.0</v>
      </c>
      <c r="I15" s="27"/>
      <c r="J15" s="15"/>
      <c r="K15" s="28">
        <v>585.0</v>
      </c>
      <c r="L15" s="28"/>
      <c r="M15" s="28"/>
      <c r="N15" s="29"/>
      <c r="O15" s="105"/>
      <c r="P15" s="105"/>
      <c r="Q15" s="61">
        <f t="shared" si="1"/>
        <v>434</v>
      </c>
      <c r="R15" s="61">
        <f t="shared" si="2"/>
        <v>30</v>
      </c>
      <c r="S15" s="61">
        <f t="shared" si="3"/>
        <v>464</v>
      </c>
    </row>
    <row r="16">
      <c r="A16" s="32">
        <v>12.0</v>
      </c>
      <c r="B16" s="108" t="s">
        <v>107</v>
      </c>
      <c r="C16" s="108" t="s">
        <v>18</v>
      </c>
      <c r="D16" s="108" t="s">
        <v>21</v>
      </c>
      <c r="E16" s="49"/>
      <c r="F16" s="109"/>
      <c r="G16" s="109"/>
      <c r="H16" s="110">
        <v>527.0</v>
      </c>
      <c r="I16" s="111"/>
      <c r="J16" s="111"/>
      <c r="K16" s="28">
        <v>548.0</v>
      </c>
      <c r="L16" s="28">
        <v>7.0</v>
      </c>
      <c r="M16" s="28">
        <v>10.0</v>
      </c>
      <c r="N16" s="112">
        <v>574.0</v>
      </c>
      <c r="O16" s="112">
        <v>4.0</v>
      </c>
      <c r="P16" s="112">
        <v>40.0</v>
      </c>
      <c r="Q16" s="61">
        <f t="shared" si="1"/>
        <v>412.25</v>
      </c>
      <c r="R16" s="61">
        <f t="shared" si="2"/>
        <v>50</v>
      </c>
      <c r="S16" s="61">
        <f t="shared" si="3"/>
        <v>462.25</v>
      </c>
    </row>
    <row r="17">
      <c r="A17" s="21">
        <v>13.0</v>
      </c>
      <c r="B17" s="23" t="s">
        <v>179</v>
      </c>
      <c r="C17" s="23" t="s">
        <v>51</v>
      </c>
      <c r="D17" s="23" t="s">
        <v>21</v>
      </c>
      <c r="E17" s="24">
        <v>591.0</v>
      </c>
      <c r="F17" s="25"/>
      <c r="G17" s="14"/>
      <c r="H17" s="26">
        <v>621.0</v>
      </c>
      <c r="I17" s="27"/>
      <c r="J17" s="15"/>
      <c r="K17" s="28">
        <v>612.0</v>
      </c>
      <c r="L17" s="28"/>
      <c r="M17" s="28"/>
      <c r="N17" s="29"/>
      <c r="O17" s="17"/>
      <c r="P17" s="17"/>
      <c r="Q17" s="61">
        <f t="shared" si="1"/>
        <v>456</v>
      </c>
      <c r="R17" s="61">
        <f t="shared" si="2"/>
        <v>0</v>
      </c>
      <c r="S17" s="61">
        <f t="shared" si="3"/>
        <v>456</v>
      </c>
    </row>
    <row r="18">
      <c r="A18" s="32">
        <v>14.0</v>
      </c>
      <c r="B18" s="23" t="s">
        <v>180</v>
      </c>
      <c r="C18" s="23" t="s">
        <v>42</v>
      </c>
      <c r="D18" s="23" t="s">
        <v>34</v>
      </c>
      <c r="E18" s="24">
        <v>396.0</v>
      </c>
      <c r="F18" s="100"/>
      <c r="G18" s="100"/>
      <c r="H18" s="60">
        <v>357.0</v>
      </c>
      <c r="I18" s="103"/>
      <c r="J18" s="103"/>
      <c r="K18" s="28">
        <v>564.0</v>
      </c>
      <c r="L18" s="28"/>
      <c r="M18" s="28"/>
      <c r="N18" s="101">
        <v>500.0</v>
      </c>
      <c r="O18" s="105"/>
      <c r="P18" s="105"/>
      <c r="Q18" s="61">
        <f t="shared" si="1"/>
        <v>454.25</v>
      </c>
      <c r="R18" s="61">
        <f t="shared" si="2"/>
        <v>0</v>
      </c>
      <c r="S18" s="61">
        <f t="shared" si="3"/>
        <v>454.25</v>
      </c>
    </row>
    <row r="19">
      <c r="A19" s="21">
        <v>15.0</v>
      </c>
      <c r="B19" s="23" t="s">
        <v>181</v>
      </c>
      <c r="C19" s="23" t="s">
        <v>32</v>
      </c>
      <c r="D19" s="23"/>
      <c r="E19" s="24">
        <v>550.0</v>
      </c>
      <c r="F19" s="100"/>
      <c r="G19" s="100"/>
      <c r="H19" s="26">
        <v>515.0</v>
      </c>
      <c r="I19" s="27"/>
      <c r="J19" s="15"/>
      <c r="K19" s="28">
        <v>577.0</v>
      </c>
      <c r="L19" s="28">
        <v>4.0</v>
      </c>
      <c r="M19" s="28">
        <v>40.0</v>
      </c>
      <c r="N19" s="29"/>
      <c r="O19" s="101"/>
      <c r="P19" s="101"/>
      <c r="Q19" s="61">
        <f t="shared" si="1"/>
        <v>410.5</v>
      </c>
      <c r="R19" s="61">
        <f t="shared" si="2"/>
        <v>40</v>
      </c>
      <c r="S19" s="61">
        <f t="shared" si="3"/>
        <v>450.5</v>
      </c>
    </row>
    <row r="20">
      <c r="A20" s="32">
        <v>16.0</v>
      </c>
      <c r="B20" s="23" t="s">
        <v>182</v>
      </c>
      <c r="C20" s="23" t="s">
        <v>51</v>
      </c>
      <c r="D20" s="23" t="s">
        <v>21</v>
      </c>
      <c r="E20" s="24">
        <v>586.0</v>
      </c>
      <c r="F20" s="25"/>
      <c r="G20" s="14"/>
      <c r="H20" s="44">
        <v>580.0</v>
      </c>
      <c r="I20" s="103"/>
      <c r="J20" s="103"/>
      <c r="K20" s="28">
        <v>600.0</v>
      </c>
      <c r="L20" s="28"/>
      <c r="M20" s="28"/>
      <c r="N20" s="29"/>
      <c r="O20" s="17"/>
      <c r="P20" s="17"/>
      <c r="Q20" s="61">
        <f t="shared" si="1"/>
        <v>441.5</v>
      </c>
      <c r="R20" s="61">
        <f t="shared" si="2"/>
        <v>0</v>
      </c>
      <c r="S20" s="61">
        <f t="shared" si="3"/>
        <v>441.5</v>
      </c>
    </row>
    <row r="21">
      <c r="A21" s="21">
        <v>17.0</v>
      </c>
      <c r="B21" s="23" t="s">
        <v>183</v>
      </c>
      <c r="C21" s="23" t="s">
        <v>51</v>
      </c>
      <c r="D21" s="23" t="s">
        <v>21</v>
      </c>
      <c r="E21" s="24">
        <v>505.0</v>
      </c>
      <c r="F21" s="100"/>
      <c r="G21" s="100"/>
      <c r="H21" s="60">
        <v>554.0</v>
      </c>
      <c r="I21" s="60">
        <v>4.0</v>
      </c>
      <c r="J21" s="60">
        <v>40.0</v>
      </c>
      <c r="K21" s="28">
        <v>531.0</v>
      </c>
      <c r="L21" s="28"/>
      <c r="M21" s="28"/>
      <c r="N21" s="29"/>
      <c r="O21" s="105"/>
      <c r="P21" s="105"/>
      <c r="Q21" s="61">
        <f t="shared" si="1"/>
        <v>397.5</v>
      </c>
      <c r="R21" s="61">
        <f t="shared" si="2"/>
        <v>40</v>
      </c>
      <c r="S21" s="61">
        <f t="shared" si="3"/>
        <v>437.5</v>
      </c>
    </row>
    <row r="22">
      <c r="A22" s="32">
        <v>18.0</v>
      </c>
      <c r="B22" s="23" t="s">
        <v>103</v>
      </c>
      <c r="C22" s="23" t="s">
        <v>32</v>
      </c>
      <c r="D22" s="23"/>
      <c r="E22" s="24">
        <v>582.0</v>
      </c>
      <c r="F22" s="25"/>
      <c r="G22" s="14"/>
      <c r="H22" s="26">
        <v>513.0</v>
      </c>
      <c r="I22" s="60">
        <v>8.0</v>
      </c>
      <c r="J22" s="60">
        <v>5.0</v>
      </c>
      <c r="K22" s="113">
        <v>527.0</v>
      </c>
      <c r="L22" s="28"/>
      <c r="M22" s="28"/>
      <c r="N22" s="47"/>
      <c r="O22" s="17"/>
      <c r="P22" s="17"/>
      <c r="Q22" s="61">
        <f t="shared" si="1"/>
        <v>405.5</v>
      </c>
      <c r="R22" s="61">
        <f t="shared" si="2"/>
        <v>5</v>
      </c>
      <c r="S22" s="61">
        <f t="shared" si="3"/>
        <v>410.5</v>
      </c>
    </row>
    <row r="23">
      <c r="A23" s="21">
        <v>19.0</v>
      </c>
      <c r="B23" s="23" t="s">
        <v>184</v>
      </c>
      <c r="C23" s="23" t="s">
        <v>42</v>
      </c>
      <c r="D23" s="23"/>
      <c r="E23" s="24">
        <v>549.0</v>
      </c>
      <c r="F23" s="100"/>
      <c r="G23" s="100"/>
      <c r="H23" s="26">
        <v>542.0</v>
      </c>
      <c r="I23" s="27"/>
      <c r="J23" s="15"/>
      <c r="K23" s="28">
        <v>529.0</v>
      </c>
      <c r="L23" s="28"/>
      <c r="M23" s="28"/>
      <c r="N23" s="101"/>
      <c r="O23" s="105"/>
      <c r="P23" s="105"/>
      <c r="Q23" s="61">
        <f t="shared" si="1"/>
        <v>405</v>
      </c>
      <c r="R23" s="61">
        <f t="shared" si="2"/>
        <v>0</v>
      </c>
      <c r="S23" s="61">
        <f t="shared" si="3"/>
        <v>405</v>
      </c>
    </row>
    <row r="24">
      <c r="A24" s="32">
        <v>20.0</v>
      </c>
      <c r="B24" s="23" t="s">
        <v>185</v>
      </c>
      <c r="C24" s="23" t="s">
        <v>18</v>
      </c>
      <c r="D24" s="23"/>
      <c r="E24" s="24">
        <v>518.0</v>
      </c>
      <c r="F24" s="100"/>
      <c r="G24" s="100"/>
      <c r="H24" s="26">
        <v>539.0</v>
      </c>
      <c r="I24" s="103"/>
      <c r="J24" s="103"/>
      <c r="K24" s="28"/>
      <c r="L24" s="28"/>
      <c r="M24" s="28"/>
      <c r="N24" s="101">
        <v>520.0</v>
      </c>
      <c r="O24" s="105"/>
      <c r="P24" s="105"/>
      <c r="Q24" s="61">
        <f t="shared" si="1"/>
        <v>394.25</v>
      </c>
      <c r="R24" s="61">
        <f t="shared" si="2"/>
        <v>0</v>
      </c>
      <c r="S24" s="61">
        <f t="shared" si="3"/>
        <v>394.25</v>
      </c>
    </row>
    <row r="25">
      <c r="A25" s="21">
        <v>21.0</v>
      </c>
      <c r="B25" s="23" t="s">
        <v>108</v>
      </c>
      <c r="C25" s="23" t="s">
        <v>42</v>
      </c>
      <c r="D25" s="23"/>
      <c r="E25" s="24">
        <v>451.0</v>
      </c>
      <c r="F25" s="106">
        <v>8.0</v>
      </c>
      <c r="G25" s="106">
        <v>5.0</v>
      </c>
      <c r="H25" s="26">
        <v>437.0</v>
      </c>
      <c r="I25" s="103"/>
      <c r="J25" s="103"/>
      <c r="K25" s="28">
        <v>541.0</v>
      </c>
      <c r="L25" s="28">
        <v>5.0</v>
      </c>
      <c r="M25" s="28">
        <v>30.0</v>
      </c>
      <c r="N25" s="101"/>
      <c r="O25" s="105"/>
      <c r="P25" s="105"/>
      <c r="Q25" s="61">
        <f t="shared" si="1"/>
        <v>357.25</v>
      </c>
      <c r="R25" s="61">
        <f t="shared" si="2"/>
        <v>35</v>
      </c>
      <c r="S25" s="61">
        <f t="shared" si="3"/>
        <v>392.25</v>
      </c>
    </row>
    <row r="26">
      <c r="A26" s="32">
        <v>22.0</v>
      </c>
      <c r="B26" s="23" t="s">
        <v>186</v>
      </c>
      <c r="C26" s="23" t="s">
        <v>32</v>
      </c>
      <c r="D26" s="23"/>
      <c r="E26" s="24">
        <v>538.0</v>
      </c>
      <c r="F26" s="100"/>
      <c r="G26" s="100"/>
      <c r="H26" s="26">
        <v>518.0</v>
      </c>
      <c r="I26" s="103"/>
      <c r="J26" s="103"/>
      <c r="K26" s="28"/>
      <c r="L26" s="28"/>
      <c r="M26" s="28"/>
      <c r="N26" s="29">
        <v>443.0</v>
      </c>
      <c r="O26" s="105"/>
      <c r="P26" s="105"/>
      <c r="Q26" s="61">
        <f t="shared" si="1"/>
        <v>374.75</v>
      </c>
      <c r="R26" s="61">
        <f t="shared" si="2"/>
        <v>0</v>
      </c>
      <c r="S26" s="61">
        <f t="shared" si="3"/>
        <v>374.75</v>
      </c>
    </row>
    <row r="27">
      <c r="A27" s="21">
        <v>23.0</v>
      </c>
      <c r="B27" s="23" t="s">
        <v>187</v>
      </c>
      <c r="C27" s="23" t="s">
        <v>39</v>
      </c>
      <c r="D27" s="23"/>
      <c r="E27" s="24">
        <v>567.0</v>
      </c>
      <c r="F27" s="100"/>
      <c r="G27" s="100"/>
      <c r="H27" s="26">
        <v>329.0</v>
      </c>
      <c r="I27" s="103"/>
      <c r="J27" s="103"/>
      <c r="K27" s="28">
        <v>567.0</v>
      </c>
      <c r="L27" s="28"/>
      <c r="M27" s="28"/>
      <c r="N27" s="29"/>
      <c r="O27" s="17"/>
      <c r="P27" s="17"/>
      <c r="Q27" s="61">
        <f t="shared" si="1"/>
        <v>365.75</v>
      </c>
      <c r="R27" s="61">
        <f t="shared" si="2"/>
        <v>0</v>
      </c>
      <c r="S27" s="61">
        <f t="shared" si="3"/>
        <v>365.75</v>
      </c>
    </row>
    <row r="28">
      <c r="A28" s="32">
        <v>24.0</v>
      </c>
      <c r="B28" s="108" t="s">
        <v>188</v>
      </c>
      <c r="C28" s="108" t="s">
        <v>32</v>
      </c>
      <c r="D28" s="23" t="s">
        <v>34</v>
      </c>
      <c r="E28" s="49"/>
      <c r="F28" s="109"/>
      <c r="G28" s="109"/>
      <c r="H28" s="111"/>
      <c r="I28" s="111"/>
      <c r="J28" s="111"/>
      <c r="K28" s="28">
        <v>593.0</v>
      </c>
      <c r="L28" s="28">
        <v>2.0</v>
      </c>
      <c r="M28" s="28">
        <v>60.0</v>
      </c>
      <c r="N28" s="112">
        <v>525.0</v>
      </c>
      <c r="O28" s="114"/>
      <c r="P28" s="114"/>
      <c r="Q28" s="61">
        <f t="shared" si="1"/>
        <v>279.5</v>
      </c>
      <c r="R28" s="61">
        <f t="shared" si="2"/>
        <v>60</v>
      </c>
      <c r="S28" s="61">
        <f t="shared" si="3"/>
        <v>339.5</v>
      </c>
    </row>
    <row r="29">
      <c r="A29" s="21">
        <v>25.0</v>
      </c>
      <c r="B29" s="23" t="s">
        <v>189</v>
      </c>
      <c r="C29" s="23" t="s">
        <v>39</v>
      </c>
      <c r="D29" s="23"/>
      <c r="E29" s="24">
        <v>452.0</v>
      </c>
      <c r="F29" s="100"/>
      <c r="G29" s="100"/>
      <c r="H29" s="60">
        <v>402.0</v>
      </c>
      <c r="I29" s="103"/>
      <c r="J29" s="103"/>
      <c r="K29" s="28">
        <v>445.0</v>
      </c>
      <c r="L29" s="28"/>
      <c r="M29" s="28"/>
      <c r="N29" s="101"/>
      <c r="O29" s="105"/>
      <c r="P29" s="105"/>
      <c r="Q29" s="61">
        <f t="shared" si="1"/>
        <v>324.75</v>
      </c>
      <c r="R29" s="61">
        <f t="shared" si="2"/>
        <v>0</v>
      </c>
      <c r="S29" s="61">
        <f t="shared" si="3"/>
        <v>324.75</v>
      </c>
    </row>
    <row r="30">
      <c r="A30" s="32">
        <v>26.0</v>
      </c>
      <c r="B30" s="23" t="s">
        <v>190</v>
      </c>
      <c r="C30" s="23" t="s">
        <v>18</v>
      </c>
      <c r="D30" s="23"/>
      <c r="E30" s="24">
        <v>526.0</v>
      </c>
      <c r="F30" s="106">
        <v>4.0</v>
      </c>
      <c r="G30" s="106">
        <v>40.0</v>
      </c>
      <c r="H30" s="27"/>
      <c r="I30" s="103"/>
      <c r="J30" s="103"/>
      <c r="K30" s="28">
        <v>565.0</v>
      </c>
      <c r="L30" s="28"/>
      <c r="M30" s="28"/>
      <c r="N30" s="101"/>
      <c r="O30" s="105"/>
      <c r="P30" s="105"/>
      <c r="Q30" s="61">
        <f t="shared" si="1"/>
        <v>272.75</v>
      </c>
      <c r="R30" s="61">
        <f t="shared" si="2"/>
        <v>40</v>
      </c>
      <c r="S30" s="61">
        <f t="shared" si="3"/>
        <v>312.75</v>
      </c>
    </row>
    <row r="31">
      <c r="A31" s="21">
        <v>27.0</v>
      </c>
      <c r="B31" s="108" t="s">
        <v>101</v>
      </c>
      <c r="C31" s="108" t="s">
        <v>15</v>
      </c>
      <c r="D31" s="23" t="s">
        <v>86</v>
      </c>
      <c r="E31" s="49"/>
      <c r="F31" s="109"/>
      <c r="G31" s="109"/>
      <c r="H31" s="111"/>
      <c r="I31" s="111"/>
      <c r="J31" s="111"/>
      <c r="K31" s="28">
        <v>619.0</v>
      </c>
      <c r="L31" s="28"/>
      <c r="M31" s="28"/>
      <c r="N31" s="112">
        <v>585.0</v>
      </c>
      <c r="O31" s="112">
        <v>7.0</v>
      </c>
      <c r="P31" s="112">
        <v>10.0</v>
      </c>
      <c r="Q31" s="61">
        <f t="shared" si="1"/>
        <v>301</v>
      </c>
      <c r="R31" s="61">
        <f t="shared" si="2"/>
        <v>10</v>
      </c>
      <c r="S31" s="61">
        <f t="shared" si="3"/>
        <v>311</v>
      </c>
    </row>
    <row r="32">
      <c r="A32" s="32">
        <v>28.0</v>
      </c>
      <c r="B32" s="23" t="s">
        <v>191</v>
      </c>
      <c r="C32" s="23" t="s">
        <v>15</v>
      </c>
      <c r="D32" s="23"/>
      <c r="E32" s="24">
        <v>540.0</v>
      </c>
      <c r="F32" s="100"/>
      <c r="G32" s="100"/>
      <c r="H32" s="26">
        <v>573.0</v>
      </c>
      <c r="I32" s="27"/>
      <c r="J32" s="15"/>
      <c r="K32" s="28"/>
      <c r="L32" s="28"/>
      <c r="M32" s="28"/>
      <c r="N32" s="105"/>
      <c r="O32" s="105"/>
      <c r="P32" s="105"/>
      <c r="Q32" s="61">
        <f t="shared" si="1"/>
        <v>278.25</v>
      </c>
      <c r="R32" s="61">
        <f t="shared" si="2"/>
        <v>0</v>
      </c>
      <c r="S32" s="61">
        <f t="shared" si="3"/>
        <v>278.25</v>
      </c>
    </row>
    <row r="33">
      <c r="A33" s="21">
        <v>29.0</v>
      </c>
      <c r="B33" s="108" t="s">
        <v>192</v>
      </c>
      <c r="C33" s="108" t="s">
        <v>72</v>
      </c>
      <c r="D33" s="23" t="s">
        <v>34</v>
      </c>
      <c r="E33" s="49"/>
      <c r="F33" s="109"/>
      <c r="G33" s="109"/>
      <c r="H33" s="111"/>
      <c r="I33" s="111"/>
      <c r="J33" s="111"/>
      <c r="K33" s="28">
        <v>573.0</v>
      </c>
      <c r="L33" s="28"/>
      <c r="M33" s="28"/>
      <c r="N33" s="112">
        <v>540.0</v>
      </c>
      <c r="O33" s="114"/>
      <c r="P33" s="114"/>
      <c r="Q33" s="61">
        <f t="shared" si="1"/>
        <v>278.25</v>
      </c>
      <c r="R33" s="61">
        <f t="shared" si="2"/>
        <v>0</v>
      </c>
      <c r="S33" s="61">
        <f t="shared" si="3"/>
        <v>278.25</v>
      </c>
    </row>
    <row r="34">
      <c r="A34" s="32">
        <v>30.0</v>
      </c>
      <c r="B34" s="23" t="s">
        <v>193</v>
      </c>
      <c r="C34" s="23" t="s">
        <v>15</v>
      </c>
      <c r="D34" s="23"/>
      <c r="E34" s="24">
        <v>548.0</v>
      </c>
      <c r="F34" s="100"/>
      <c r="G34" s="100"/>
      <c r="H34" s="26">
        <v>515.0</v>
      </c>
      <c r="I34" s="103"/>
      <c r="J34" s="103"/>
      <c r="K34" s="28"/>
      <c r="L34" s="28"/>
      <c r="M34" s="28"/>
      <c r="N34" s="47"/>
      <c r="O34" s="105"/>
      <c r="P34" s="105"/>
      <c r="Q34" s="61">
        <f t="shared" si="1"/>
        <v>265.75</v>
      </c>
      <c r="R34" s="61">
        <f t="shared" si="2"/>
        <v>0</v>
      </c>
      <c r="S34" s="61">
        <f t="shared" si="3"/>
        <v>265.75</v>
      </c>
    </row>
    <row r="35">
      <c r="A35" s="21">
        <v>31.0</v>
      </c>
      <c r="B35" s="23" t="s">
        <v>194</v>
      </c>
      <c r="C35" s="23" t="s">
        <v>18</v>
      </c>
      <c r="D35" s="23"/>
      <c r="E35" s="24">
        <v>511.0</v>
      </c>
      <c r="F35" s="100"/>
      <c r="G35" s="100"/>
      <c r="H35" s="26">
        <v>483.0</v>
      </c>
      <c r="I35" s="103"/>
      <c r="J35" s="103"/>
      <c r="K35" s="28"/>
      <c r="L35" s="28"/>
      <c r="M35" s="28"/>
      <c r="N35" s="105"/>
      <c r="O35" s="105"/>
      <c r="P35" s="105"/>
      <c r="Q35" s="61">
        <f t="shared" si="1"/>
        <v>248.5</v>
      </c>
      <c r="R35" s="61">
        <f t="shared" si="2"/>
        <v>0</v>
      </c>
      <c r="S35" s="61">
        <f t="shared" si="3"/>
        <v>248.5</v>
      </c>
    </row>
    <row r="36">
      <c r="A36" s="32">
        <v>32.0</v>
      </c>
      <c r="B36" s="108" t="s">
        <v>195</v>
      </c>
      <c r="C36" s="108" t="s">
        <v>48</v>
      </c>
      <c r="D36" s="108"/>
      <c r="E36" s="49"/>
      <c r="F36" s="109"/>
      <c r="G36" s="109"/>
      <c r="H36" s="110">
        <v>436.0</v>
      </c>
      <c r="I36" s="111"/>
      <c r="J36" s="111"/>
      <c r="K36" s="28">
        <v>511.0</v>
      </c>
      <c r="L36" s="28"/>
      <c r="M36" s="28"/>
      <c r="N36" s="112"/>
      <c r="O36" s="114"/>
      <c r="P36" s="114"/>
      <c r="Q36" s="61">
        <f t="shared" si="1"/>
        <v>236.75</v>
      </c>
      <c r="R36" s="61">
        <f t="shared" si="2"/>
        <v>0</v>
      </c>
      <c r="S36" s="61">
        <f t="shared" si="3"/>
        <v>236.75</v>
      </c>
    </row>
    <row r="37">
      <c r="A37" s="21">
        <v>33.0</v>
      </c>
      <c r="B37" s="23" t="s">
        <v>196</v>
      </c>
      <c r="C37" s="23" t="s">
        <v>67</v>
      </c>
      <c r="D37" s="23"/>
      <c r="E37" s="24">
        <v>432.0</v>
      </c>
      <c r="F37" s="100"/>
      <c r="G37" s="100"/>
      <c r="H37" s="27"/>
      <c r="I37" s="103"/>
      <c r="J37" s="103"/>
      <c r="K37" s="28"/>
      <c r="L37" s="28"/>
      <c r="M37" s="28"/>
      <c r="N37" s="101">
        <v>444.0</v>
      </c>
      <c r="O37" s="105"/>
      <c r="P37" s="105"/>
      <c r="Q37" s="61">
        <f t="shared" si="1"/>
        <v>219</v>
      </c>
      <c r="R37" s="61">
        <f t="shared" si="2"/>
        <v>0</v>
      </c>
      <c r="S37" s="61">
        <f t="shared" si="3"/>
        <v>219</v>
      </c>
    </row>
    <row r="38">
      <c r="A38" s="32">
        <v>34.0</v>
      </c>
      <c r="B38" s="23" t="s">
        <v>197</v>
      </c>
      <c r="C38" s="23" t="s">
        <v>39</v>
      </c>
      <c r="D38" s="23"/>
      <c r="E38" s="24">
        <v>388.0</v>
      </c>
      <c r="F38" s="100"/>
      <c r="G38" s="100"/>
      <c r="H38" s="103"/>
      <c r="I38" s="103"/>
      <c r="J38" s="103"/>
      <c r="K38" s="28">
        <v>458.0</v>
      </c>
      <c r="L38" s="28"/>
      <c r="M38" s="28"/>
      <c r="N38" s="101"/>
      <c r="O38" s="105"/>
      <c r="P38" s="105"/>
      <c r="Q38" s="61">
        <f t="shared" si="1"/>
        <v>211.5</v>
      </c>
      <c r="R38" s="61">
        <f t="shared" si="2"/>
        <v>0</v>
      </c>
      <c r="S38" s="61">
        <f t="shared" si="3"/>
        <v>211.5</v>
      </c>
    </row>
    <row r="39">
      <c r="A39" s="21">
        <v>35.0</v>
      </c>
      <c r="B39" s="108" t="s">
        <v>106</v>
      </c>
      <c r="C39" s="108" t="s">
        <v>18</v>
      </c>
      <c r="D39" s="108"/>
      <c r="E39" s="49"/>
      <c r="F39" s="109"/>
      <c r="G39" s="109"/>
      <c r="H39" s="110">
        <v>628.0</v>
      </c>
      <c r="I39" s="110">
        <v>3.0</v>
      </c>
      <c r="J39" s="110">
        <v>50.0</v>
      </c>
      <c r="K39" s="28"/>
      <c r="L39" s="28"/>
      <c r="M39" s="28"/>
      <c r="N39" s="114"/>
      <c r="O39" s="114"/>
      <c r="P39" s="114"/>
      <c r="Q39" s="61">
        <f t="shared" si="1"/>
        <v>157</v>
      </c>
      <c r="R39" s="61">
        <f t="shared" si="2"/>
        <v>50</v>
      </c>
      <c r="S39" s="61">
        <f t="shared" si="3"/>
        <v>207</v>
      </c>
    </row>
    <row r="40">
      <c r="A40" s="32">
        <v>36.0</v>
      </c>
      <c r="B40" s="108" t="s">
        <v>122</v>
      </c>
      <c r="C40" s="108" t="s">
        <v>32</v>
      </c>
      <c r="D40" s="108"/>
      <c r="E40" s="49"/>
      <c r="F40" s="109"/>
      <c r="G40" s="109"/>
      <c r="H40" s="110">
        <v>345.0</v>
      </c>
      <c r="I40" s="111"/>
      <c r="J40" s="111"/>
      <c r="K40" s="28"/>
      <c r="L40" s="28"/>
      <c r="M40" s="28"/>
      <c r="N40" s="112">
        <v>469.0</v>
      </c>
      <c r="O40" s="114"/>
      <c r="P40" s="114"/>
      <c r="Q40" s="61">
        <f t="shared" si="1"/>
        <v>203.5</v>
      </c>
      <c r="R40" s="61">
        <f t="shared" si="2"/>
        <v>0</v>
      </c>
      <c r="S40" s="61">
        <f t="shared" si="3"/>
        <v>203.5</v>
      </c>
    </row>
    <row r="41">
      <c r="A41" s="21">
        <v>37.0</v>
      </c>
      <c r="B41" s="115" t="s">
        <v>89</v>
      </c>
      <c r="C41" s="115" t="s">
        <v>15</v>
      </c>
      <c r="D41" s="115"/>
      <c r="E41" s="74"/>
      <c r="F41" s="116"/>
      <c r="G41" s="116"/>
      <c r="H41" s="117"/>
      <c r="I41" s="117"/>
      <c r="J41" s="117"/>
      <c r="K41" s="118">
        <v>606.0</v>
      </c>
      <c r="L41" s="118">
        <v>6.0</v>
      </c>
      <c r="M41" s="118">
        <v>40.0</v>
      </c>
      <c r="N41" s="119"/>
      <c r="O41" s="119"/>
      <c r="P41" s="119"/>
      <c r="Q41" s="61">
        <f t="shared" si="1"/>
        <v>151.5</v>
      </c>
      <c r="R41" s="61">
        <f t="shared" si="2"/>
        <v>40</v>
      </c>
      <c r="S41" s="61">
        <f t="shared" si="3"/>
        <v>191.5</v>
      </c>
    </row>
    <row r="42">
      <c r="A42" s="32">
        <v>38.0</v>
      </c>
      <c r="B42" s="23" t="s">
        <v>198</v>
      </c>
      <c r="C42" s="23" t="s">
        <v>168</v>
      </c>
      <c r="D42" s="23"/>
      <c r="E42" s="24">
        <v>133.0</v>
      </c>
      <c r="F42" s="100"/>
      <c r="G42" s="100"/>
      <c r="H42" s="103"/>
      <c r="I42" s="103"/>
      <c r="J42" s="103"/>
      <c r="K42" s="28">
        <v>322.0</v>
      </c>
      <c r="L42" s="28"/>
      <c r="M42" s="28"/>
      <c r="N42" s="101">
        <v>216.0</v>
      </c>
      <c r="O42" s="105"/>
      <c r="P42" s="105"/>
      <c r="Q42" s="61">
        <f t="shared" si="1"/>
        <v>167.75</v>
      </c>
      <c r="R42" s="61">
        <f t="shared" si="2"/>
        <v>0</v>
      </c>
      <c r="S42" s="61">
        <f t="shared" si="3"/>
        <v>167.75</v>
      </c>
    </row>
    <row r="43">
      <c r="A43" s="21">
        <v>39.0</v>
      </c>
      <c r="B43" s="23" t="s">
        <v>199</v>
      </c>
      <c r="C43" s="23" t="s">
        <v>36</v>
      </c>
      <c r="D43" s="23"/>
      <c r="E43" s="24">
        <v>129.0</v>
      </c>
      <c r="F43" s="100"/>
      <c r="G43" s="100"/>
      <c r="H43" s="103"/>
      <c r="I43" s="103"/>
      <c r="J43" s="103"/>
      <c r="K43" s="28">
        <v>432.0</v>
      </c>
      <c r="L43" s="28"/>
      <c r="M43" s="28"/>
      <c r="N43" s="101"/>
      <c r="O43" s="105"/>
      <c r="P43" s="105"/>
      <c r="Q43" s="61">
        <f t="shared" si="1"/>
        <v>140.25</v>
      </c>
      <c r="R43" s="61">
        <f t="shared" si="2"/>
        <v>0</v>
      </c>
      <c r="S43" s="61">
        <f t="shared" si="3"/>
        <v>140.25</v>
      </c>
    </row>
    <row r="44">
      <c r="A44" s="32">
        <v>40.0</v>
      </c>
      <c r="B44" s="115" t="s">
        <v>116</v>
      </c>
      <c r="C44" s="115" t="s">
        <v>32</v>
      </c>
      <c r="D44" s="115"/>
      <c r="E44" s="74"/>
      <c r="F44" s="116"/>
      <c r="G44" s="116"/>
      <c r="H44" s="117"/>
      <c r="I44" s="117"/>
      <c r="J44" s="117"/>
      <c r="K44" s="118">
        <v>539.0</v>
      </c>
      <c r="L44" s="120"/>
      <c r="M44" s="120"/>
      <c r="N44" s="119"/>
      <c r="O44" s="119"/>
      <c r="P44" s="119"/>
      <c r="Q44" s="61">
        <f t="shared" si="1"/>
        <v>134.75</v>
      </c>
      <c r="R44" s="61">
        <f t="shared" si="2"/>
        <v>0</v>
      </c>
      <c r="S44" s="61">
        <f t="shared" si="3"/>
        <v>134.75</v>
      </c>
    </row>
    <row r="45">
      <c r="A45" s="21">
        <v>41.0</v>
      </c>
      <c r="B45" s="23" t="s">
        <v>105</v>
      </c>
      <c r="C45" s="23" t="s">
        <v>67</v>
      </c>
      <c r="D45" s="23"/>
      <c r="E45" s="24">
        <v>532.0</v>
      </c>
      <c r="F45" s="100"/>
      <c r="G45" s="100"/>
      <c r="H45" s="103"/>
      <c r="I45" s="103"/>
      <c r="J45" s="103"/>
      <c r="K45" s="28"/>
      <c r="L45" s="28"/>
      <c r="M45" s="28"/>
      <c r="N45" s="47"/>
      <c r="O45" s="105"/>
      <c r="P45" s="105"/>
      <c r="Q45" s="61">
        <f t="shared" si="1"/>
        <v>133</v>
      </c>
      <c r="R45" s="61">
        <f t="shared" si="2"/>
        <v>0</v>
      </c>
      <c r="S45" s="61">
        <f t="shared" si="3"/>
        <v>133</v>
      </c>
    </row>
    <row r="46">
      <c r="A46" s="32">
        <v>42.0</v>
      </c>
      <c r="B46" s="108" t="s">
        <v>200</v>
      </c>
      <c r="C46" s="108" t="s">
        <v>67</v>
      </c>
      <c r="D46" s="108"/>
      <c r="E46" s="49"/>
      <c r="F46" s="109"/>
      <c r="G46" s="109"/>
      <c r="H46" s="110">
        <v>527.0</v>
      </c>
      <c r="I46" s="111"/>
      <c r="J46" s="111"/>
      <c r="K46" s="28"/>
      <c r="L46" s="28"/>
      <c r="M46" s="28"/>
      <c r="N46" s="114"/>
      <c r="O46" s="114"/>
      <c r="P46" s="114"/>
      <c r="Q46" s="61">
        <f t="shared" si="1"/>
        <v>131.75</v>
      </c>
      <c r="R46" s="61">
        <f t="shared" si="2"/>
        <v>0</v>
      </c>
      <c r="S46" s="61">
        <f t="shared" si="3"/>
        <v>131.75</v>
      </c>
    </row>
    <row r="47">
      <c r="A47" s="21">
        <v>43.0</v>
      </c>
      <c r="B47" s="108" t="s">
        <v>201</v>
      </c>
      <c r="C47" s="108" t="s">
        <v>32</v>
      </c>
      <c r="D47" s="108"/>
      <c r="E47" s="49"/>
      <c r="F47" s="109"/>
      <c r="G47" s="109"/>
      <c r="H47" s="110">
        <v>525.0</v>
      </c>
      <c r="I47" s="111"/>
      <c r="J47" s="111"/>
      <c r="K47" s="28"/>
      <c r="L47" s="28"/>
      <c r="M47" s="28"/>
      <c r="N47" s="114"/>
      <c r="O47" s="114"/>
      <c r="P47" s="114"/>
      <c r="Q47" s="61">
        <f t="shared" si="1"/>
        <v>131.25</v>
      </c>
      <c r="R47" s="61">
        <f t="shared" si="2"/>
        <v>0</v>
      </c>
      <c r="S47" s="61">
        <f t="shared" si="3"/>
        <v>131.25</v>
      </c>
    </row>
    <row r="48">
      <c r="A48" s="32">
        <v>44.0</v>
      </c>
      <c r="B48" s="31" t="s">
        <v>97</v>
      </c>
      <c r="C48" s="31" t="s">
        <v>202</v>
      </c>
      <c r="D48" s="31" t="s">
        <v>34</v>
      </c>
      <c r="E48" s="49"/>
      <c r="F48" s="109"/>
      <c r="G48" s="109"/>
      <c r="H48" s="111"/>
      <c r="I48" s="111"/>
      <c r="J48" s="111"/>
      <c r="K48" s="28"/>
      <c r="L48" s="28"/>
      <c r="M48" s="28"/>
      <c r="N48" s="112">
        <v>506.0</v>
      </c>
      <c r="O48" s="114"/>
      <c r="P48" s="114"/>
      <c r="Q48" s="61">
        <f t="shared" si="1"/>
        <v>126.5</v>
      </c>
      <c r="R48" s="61">
        <f t="shared" si="2"/>
        <v>0</v>
      </c>
      <c r="S48" s="61">
        <f t="shared" si="3"/>
        <v>126.5</v>
      </c>
    </row>
    <row r="49">
      <c r="A49" s="21">
        <v>45.0</v>
      </c>
      <c r="B49" s="115" t="s">
        <v>203</v>
      </c>
      <c r="C49" s="115" t="s">
        <v>100</v>
      </c>
      <c r="D49" s="115"/>
      <c r="E49" s="74"/>
      <c r="F49" s="116"/>
      <c r="G49" s="116"/>
      <c r="H49" s="117"/>
      <c r="I49" s="117"/>
      <c r="J49" s="117"/>
      <c r="K49" s="118">
        <v>489.0</v>
      </c>
      <c r="L49" s="120"/>
      <c r="M49" s="120"/>
      <c r="N49" s="119"/>
      <c r="O49" s="119"/>
      <c r="P49" s="119"/>
      <c r="Q49" s="61">
        <f t="shared" si="1"/>
        <v>122.25</v>
      </c>
      <c r="R49" s="61">
        <f t="shared" si="2"/>
        <v>0</v>
      </c>
      <c r="S49" s="61">
        <f t="shared" si="3"/>
        <v>122.25</v>
      </c>
    </row>
    <row r="50">
      <c r="A50" s="32">
        <v>46.0</v>
      </c>
      <c r="B50" s="108" t="s">
        <v>204</v>
      </c>
      <c r="C50" s="108" t="s">
        <v>67</v>
      </c>
      <c r="D50" s="108"/>
      <c r="E50" s="49"/>
      <c r="F50" s="109"/>
      <c r="G50" s="109"/>
      <c r="H50" s="110">
        <v>479.0</v>
      </c>
      <c r="I50" s="111"/>
      <c r="J50" s="111"/>
      <c r="K50" s="28"/>
      <c r="L50" s="28"/>
      <c r="M50" s="28"/>
      <c r="N50" s="114"/>
      <c r="O50" s="114"/>
      <c r="P50" s="114"/>
      <c r="Q50" s="61">
        <f t="shared" si="1"/>
        <v>119.75</v>
      </c>
      <c r="R50" s="61">
        <f t="shared" si="2"/>
        <v>0</v>
      </c>
      <c r="S50" s="61">
        <f t="shared" si="3"/>
        <v>119.75</v>
      </c>
    </row>
    <row r="51">
      <c r="A51" s="21">
        <v>47.0</v>
      </c>
      <c r="B51" s="31" t="s">
        <v>205</v>
      </c>
      <c r="C51" s="31" t="s">
        <v>32</v>
      </c>
      <c r="D51" s="31"/>
      <c r="E51" s="49"/>
      <c r="F51" s="109"/>
      <c r="G51" s="109"/>
      <c r="H51" s="111"/>
      <c r="I51" s="111"/>
      <c r="J51" s="111"/>
      <c r="K51" s="28"/>
      <c r="L51" s="28"/>
      <c r="M51" s="28"/>
      <c r="N51" s="112">
        <v>455.0</v>
      </c>
      <c r="O51" s="114"/>
      <c r="P51" s="114"/>
      <c r="Q51" s="61">
        <f t="shared" si="1"/>
        <v>113.75</v>
      </c>
      <c r="R51" s="61">
        <f t="shared" si="2"/>
        <v>0</v>
      </c>
      <c r="S51" s="61">
        <f t="shared" si="3"/>
        <v>113.75</v>
      </c>
    </row>
    <row r="52">
      <c r="A52" s="32">
        <v>48.0</v>
      </c>
      <c r="B52" s="23" t="s">
        <v>110</v>
      </c>
      <c r="C52" s="23" t="s">
        <v>44</v>
      </c>
      <c r="D52" s="23"/>
      <c r="E52" s="24">
        <v>443.0</v>
      </c>
      <c r="F52" s="100"/>
      <c r="G52" s="106"/>
      <c r="H52" s="103"/>
      <c r="I52" s="103"/>
      <c r="J52" s="103"/>
      <c r="K52" s="28"/>
      <c r="L52" s="28"/>
      <c r="M52" s="28"/>
      <c r="N52" s="105"/>
      <c r="O52" s="105"/>
      <c r="P52" s="105"/>
      <c r="Q52" s="61">
        <f t="shared" si="1"/>
        <v>110.75</v>
      </c>
      <c r="R52" s="61">
        <f t="shared" si="2"/>
        <v>0</v>
      </c>
      <c r="S52" s="61">
        <f t="shared" si="3"/>
        <v>110.75</v>
      </c>
    </row>
    <row r="53">
      <c r="A53" s="21">
        <v>49.0</v>
      </c>
      <c r="B53" s="108" t="s">
        <v>206</v>
      </c>
      <c r="C53" s="121"/>
      <c r="D53" s="121"/>
      <c r="E53" s="49"/>
      <c r="F53" s="109"/>
      <c r="G53" s="109"/>
      <c r="H53" s="110">
        <v>433.0</v>
      </c>
      <c r="I53" s="111"/>
      <c r="J53" s="111"/>
      <c r="K53" s="28"/>
      <c r="L53" s="28"/>
      <c r="M53" s="28"/>
      <c r="N53" s="114"/>
      <c r="O53" s="114"/>
      <c r="P53" s="114"/>
      <c r="Q53" s="61">
        <f t="shared" si="1"/>
        <v>108.25</v>
      </c>
      <c r="R53" s="61">
        <f t="shared" si="2"/>
        <v>0</v>
      </c>
      <c r="S53" s="61">
        <f t="shared" si="3"/>
        <v>108.25</v>
      </c>
    </row>
    <row r="54">
      <c r="A54" s="32">
        <v>50.0</v>
      </c>
      <c r="B54" s="115" t="s">
        <v>207</v>
      </c>
      <c r="C54" s="115" t="s">
        <v>208</v>
      </c>
      <c r="D54" s="115"/>
      <c r="E54" s="74"/>
      <c r="F54" s="116"/>
      <c r="G54" s="116"/>
      <c r="H54" s="117"/>
      <c r="I54" s="117"/>
      <c r="J54" s="117"/>
      <c r="K54" s="118">
        <v>414.0</v>
      </c>
      <c r="L54" s="120"/>
      <c r="M54" s="120"/>
      <c r="N54" s="119"/>
      <c r="O54" s="119"/>
      <c r="P54" s="119"/>
      <c r="Q54" s="61">
        <f t="shared" si="1"/>
        <v>103.5</v>
      </c>
      <c r="R54" s="61">
        <f t="shared" si="2"/>
        <v>0</v>
      </c>
      <c r="S54" s="61">
        <f t="shared" si="3"/>
        <v>103.5</v>
      </c>
    </row>
    <row r="55">
      <c r="A55" s="21">
        <v>51.0</v>
      </c>
      <c r="B55" s="23" t="s">
        <v>209</v>
      </c>
      <c r="C55" s="23" t="s">
        <v>42</v>
      </c>
      <c r="D55" s="23"/>
      <c r="E55" s="24">
        <v>392.0</v>
      </c>
      <c r="F55" s="100"/>
      <c r="G55" s="100"/>
      <c r="H55" s="27"/>
      <c r="I55" s="103"/>
      <c r="J55" s="103"/>
      <c r="K55" s="28"/>
      <c r="L55" s="28"/>
      <c r="M55" s="28"/>
      <c r="N55" s="105"/>
      <c r="O55" s="105"/>
      <c r="P55" s="105"/>
      <c r="Q55" s="61">
        <f t="shared" si="1"/>
        <v>98</v>
      </c>
      <c r="R55" s="61">
        <f t="shared" si="2"/>
        <v>0</v>
      </c>
      <c r="S55" s="61">
        <f t="shared" si="3"/>
        <v>98</v>
      </c>
    </row>
    <row r="56">
      <c r="A56" s="32">
        <v>52.0</v>
      </c>
      <c r="B56" s="115" t="s">
        <v>210</v>
      </c>
      <c r="C56" s="115" t="s">
        <v>72</v>
      </c>
      <c r="D56" s="115"/>
      <c r="E56" s="74"/>
      <c r="F56" s="116"/>
      <c r="G56" s="116"/>
      <c r="H56" s="117"/>
      <c r="I56" s="117"/>
      <c r="J56" s="117"/>
      <c r="K56" s="118">
        <v>341.0</v>
      </c>
      <c r="L56" s="120"/>
      <c r="M56" s="120"/>
      <c r="N56" s="119"/>
      <c r="O56" s="119"/>
      <c r="P56" s="119"/>
      <c r="Q56" s="61">
        <f t="shared" si="1"/>
        <v>85.25</v>
      </c>
      <c r="R56" s="61">
        <f t="shared" si="2"/>
        <v>0</v>
      </c>
      <c r="S56" s="61">
        <f t="shared" si="3"/>
        <v>85.25</v>
      </c>
    </row>
    <row r="57">
      <c r="A57" s="21">
        <v>53.0</v>
      </c>
      <c r="B57" s="108" t="s">
        <v>211</v>
      </c>
      <c r="C57" s="108" t="s">
        <v>15</v>
      </c>
      <c r="D57" s="108"/>
      <c r="E57" s="49"/>
      <c r="F57" s="109"/>
      <c r="G57" s="109"/>
      <c r="H57" s="110">
        <v>326.0</v>
      </c>
      <c r="I57" s="111"/>
      <c r="J57" s="111"/>
      <c r="K57" s="28"/>
      <c r="L57" s="28"/>
      <c r="M57" s="28"/>
      <c r="N57" s="114"/>
      <c r="O57" s="114"/>
      <c r="P57" s="114"/>
      <c r="Q57" s="61">
        <f t="shared" si="1"/>
        <v>81.5</v>
      </c>
      <c r="R57" s="61">
        <f t="shared" si="2"/>
        <v>0</v>
      </c>
      <c r="S57" s="61">
        <f t="shared" si="3"/>
        <v>81.5</v>
      </c>
    </row>
    <row r="58">
      <c r="A58" s="32">
        <v>54.0</v>
      </c>
      <c r="B58" s="31" t="s">
        <v>212</v>
      </c>
      <c r="C58" s="31" t="s">
        <v>213</v>
      </c>
      <c r="D58" s="31"/>
      <c r="E58" s="49"/>
      <c r="F58" s="109"/>
      <c r="G58" s="109"/>
      <c r="H58" s="111"/>
      <c r="I58" s="111"/>
      <c r="J58" s="111"/>
      <c r="K58" s="28"/>
      <c r="L58" s="28"/>
      <c r="M58" s="28"/>
      <c r="N58" s="112">
        <v>284.0</v>
      </c>
      <c r="O58" s="114"/>
      <c r="P58" s="114"/>
      <c r="Q58" s="61">
        <f t="shared" si="1"/>
        <v>71</v>
      </c>
      <c r="R58" s="61">
        <f t="shared" si="2"/>
        <v>0</v>
      </c>
      <c r="S58" s="61">
        <f t="shared" si="3"/>
        <v>71</v>
      </c>
    </row>
    <row r="59">
      <c r="A59" s="21">
        <v>55.0</v>
      </c>
      <c r="B59" s="23" t="s">
        <v>214</v>
      </c>
      <c r="C59" s="23" t="s">
        <v>18</v>
      </c>
      <c r="D59" s="23"/>
      <c r="E59" s="24">
        <v>279.0</v>
      </c>
      <c r="F59" s="100"/>
      <c r="G59" s="100"/>
      <c r="H59" s="103"/>
      <c r="I59" s="103"/>
      <c r="J59" s="103"/>
      <c r="K59" s="28"/>
      <c r="L59" s="28"/>
      <c r="M59" s="28"/>
      <c r="N59" s="105"/>
      <c r="O59" s="105"/>
      <c r="P59" s="105"/>
      <c r="Q59" s="61">
        <f t="shared" si="1"/>
        <v>69.75</v>
      </c>
      <c r="R59" s="61">
        <f t="shared" si="2"/>
        <v>0</v>
      </c>
      <c r="S59" s="61">
        <f t="shared" si="3"/>
        <v>69.75</v>
      </c>
    </row>
    <row r="60">
      <c r="A60" s="32">
        <v>56.0</v>
      </c>
      <c r="B60" s="108" t="s">
        <v>210</v>
      </c>
      <c r="C60" s="108" t="s">
        <v>72</v>
      </c>
      <c r="D60" s="108"/>
      <c r="E60" s="49"/>
      <c r="F60" s="109"/>
      <c r="G60" s="109"/>
      <c r="H60" s="111"/>
      <c r="I60" s="111"/>
      <c r="J60" s="111"/>
      <c r="K60" s="28"/>
      <c r="L60" s="28"/>
      <c r="M60" s="28"/>
      <c r="N60" s="112">
        <v>264.0</v>
      </c>
      <c r="O60" s="114"/>
      <c r="P60" s="114"/>
      <c r="Q60" s="61">
        <f t="shared" si="1"/>
        <v>66</v>
      </c>
      <c r="R60" s="61">
        <f t="shared" si="2"/>
        <v>0</v>
      </c>
      <c r="S60" s="61">
        <f t="shared" si="3"/>
        <v>66</v>
      </c>
    </row>
    <row r="61">
      <c r="A61" s="21">
        <v>57.0</v>
      </c>
      <c r="B61" s="23" t="s">
        <v>215</v>
      </c>
      <c r="C61" s="23" t="s">
        <v>18</v>
      </c>
      <c r="D61" s="23"/>
      <c r="E61" s="24">
        <v>218.0</v>
      </c>
      <c r="F61" s="100"/>
      <c r="G61" s="100"/>
      <c r="H61" s="103"/>
      <c r="I61" s="103"/>
      <c r="J61" s="103"/>
      <c r="K61" s="28"/>
      <c r="L61" s="28"/>
      <c r="M61" s="28"/>
      <c r="N61" s="105"/>
      <c r="O61" s="105"/>
      <c r="P61" s="105"/>
      <c r="Q61" s="61">
        <f t="shared" si="1"/>
        <v>54.5</v>
      </c>
      <c r="R61" s="61">
        <f t="shared" si="2"/>
        <v>0</v>
      </c>
      <c r="S61" s="61">
        <f t="shared" si="3"/>
        <v>54.5</v>
      </c>
    </row>
    <row r="62">
      <c r="A62" s="32">
        <v>58.0</v>
      </c>
      <c r="B62" s="31" t="s">
        <v>216</v>
      </c>
      <c r="C62" s="31" t="s">
        <v>32</v>
      </c>
      <c r="D62" s="31"/>
      <c r="E62" s="49"/>
      <c r="F62" s="109"/>
      <c r="G62" s="109"/>
      <c r="H62" s="111"/>
      <c r="I62" s="111"/>
      <c r="J62" s="111"/>
      <c r="K62" s="28"/>
      <c r="L62" s="28"/>
      <c r="M62" s="28"/>
      <c r="N62" s="112">
        <v>200.0</v>
      </c>
      <c r="O62" s="114"/>
      <c r="P62" s="114"/>
      <c r="Q62" s="61">
        <f t="shared" si="1"/>
        <v>50</v>
      </c>
      <c r="R62" s="61">
        <f t="shared" si="2"/>
        <v>0</v>
      </c>
      <c r="S62" s="61">
        <f t="shared" si="3"/>
        <v>50</v>
      </c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3" max="3" width="7.63"/>
    <col customWidth="1" min="6" max="9" width="6.0"/>
    <col customWidth="1" min="10" max="11" width="5.25"/>
  </cols>
  <sheetData>
    <row r="1">
      <c r="A1" s="122" t="s">
        <v>217</v>
      </c>
    </row>
    <row r="2">
      <c r="A2" s="1"/>
    </row>
    <row r="3">
      <c r="A3" s="2"/>
      <c r="B3" s="3"/>
      <c r="C3" s="3"/>
      <c r="D3" s="3"/>
      <c r="E3" s="3"/>
      <c r="F3" s="8" t="s">
        <v>218</v>
      </c>
      <c r="G3" s="5"/>
      <c r="H3" s="6"/>
      <c r="I3" s="9" t="s">
        <v>3</v>
      </c>
      <c r="J3" s="5"/>
      <c r="K3" s="6"/>
      <c r="L3" s="90"/>
      <c r="M3" s="90"/>
      <c r="N3" s="3"/>
    </row>
    <row r="4">
      <c r="A4" s="99" t="s">
        <v>4</v>
      </c>
      <c r="B4" s="99" t="s">
        <v>5</v>
      </c>
      <c r="C4" s="99"/>
      <c r="D4" s="99" t="s">
        <v>6</v>
      </c>
      <c r="E4" s="19" t="s">
        <v>219</v>
      </c>
      <c r="F4" s="16" t="s">
        <v>8</v>
      </c>
      <c r="G4" s="16" t="s">
        <v>9</v>
      </c>
      <c r="H4" s="16" t="s">
        <v>10</v>
      </c>
      <c r="I4" s="17" t="s">
        <v>8</v>
      </c>
      <c r="J4" s="17" t="s">
        <v>9</v>
      </c>
      <c r="K4" s="17" t="s">
        <v>10</v>
      </c>
      <c r="L4" s="18" t="s">
        <v>11</v>
      </c>
      <c r="M4" s="19" t="s">
        <v>12</v>
      </c>
      <c r="N4" s="20" t="s">
        <v>13</v>
      </c>
    </row>
    <row r="5">
      <c r="A5" s="32"/>
      <c r="B5" s="23" t="s">
        <v>75</v>
      </c>
      <c r="C5" s="23">
        <v>2010.0</v>
      </c>
      <c r="D5" s="23" t="s">
        <v>32</v>
      </c>
      <c r="E5" s="23" t="s">
        <v>40</v>
      </c>
      <c r="F5" s="28">
        <v>589.0</v>
      </c>
      <c r="G5" s="28">
        <v>8.0</v>
      </c>
      <c r="H5" s="28">
        <v>5.0</v>
      </c>
      <c r="I5" s="101"/>
      <c r="J5" s="105"/>
      <c r="K5" s="105"/>
      <c r="L5" s="61">
        <f t="shared" ref="L5:L48" si="1">(I5+F5)/4</f>
        <v>147.25</v>
      </c>
      <c r="M5" s="61">
        <f t="shared" ref="M5:M48" si="2">K5+H5</f>
        <v>5</v>
      </c>
      <c r="N5" s="61">
        <f t="shared" ref="N5:N48" si="3">L5+M5</f>
        <v>152.25</v>
      </c>
    </row>
    <row r="6">
      <c r="A6" s="32"/>
      <c r="B6" s="23" t="s">
        <v>138</v>
      </c>
      <c r="C6" s="23">
        <v>2009.0</v>
      </c>
      <c r="D6" s="23" t="s">
        <v>220</v>
      </c>
      <c r="E6" s="23" t="s">
        <v>21</v>
      </c>
      <c r="F6" s="123">
        <v>596.0</v>
      </c>
      <c r="G6" s="28"/>
      <c r="H6" s="28"/>
      <c r="I6" s="29"/>
      <c r="J6" s="105"/>
      <c r="K6" s="105"/>
      <c r="L6" s="61">
        <f t="shared" si="1"/>
        <v>149</v>
      </c>
      <c r="M6" s="61">
        <f t="shared" si="2"/>
        <v>0</v>
      </c>
      <c r="N6" s="61">
        <f t="shared" si="3"/>
        <v>149</v>
      </c>
    </row>
    <row r="7">
      <c r="A7" s="32"/>
      <c r="B7" s="23" t="s">
        <v>61</v>
      </c>
      <c r="C7" s="23">
        <v>2008.0</v>
      </c>
      <c r="D7" s="23" t="s">
        <v>221</v>
      </c>
      <c r="E7" s="23" t="s">
        <v>21</v>
      </c>
      <c r="F7" s="28">
        <v>570.0</v>
      </c>
      <c r="G7" s="28"/>
      <c r="H7" s="28"/>
      <c r="I7" s="29"/>
      <c r="J7" s="101"/>
      <c r="K7" s="101"/>
      <c r="L7" s="61">
        <f t="shared" si="1"/>
        <v>142.5</v>
      </c>
      <c r="M7" s="61">
        <f t="shared" si="2"/>
        <v>0</v>
      </c>
      <c r="N7" s="61">
        <f t="shared" si="3"/>
        <v>142.5</v>
      </c>
    </row>
    <row r="8">
      <c r="A8" s="61"/>
      <c r="B8" s="108" t="s">
        <v>46</v>
      </c>
      <c r="C8" s="108">
        <v>2006.0</v>
      </c>
      <c r="D8" s="108" t="s">
        <v>222</v>
      </c>
      <c r="E8" s="23"/>
      <c r="F8" s="28">
        <v>529.0</v>
      </c>
      <c r="G8" s="28">
        <v>7.0</v>
      </c>
      <c r="H8" s="28">
        <v>10.0</v>
      </c>
      <c r="I8" s="112"/>
      <c r="J8" s="114"/>
      <c r="K8" s="114"/>
      <c r="L8" s="61">
        <f t="shared" si="1"/>
        <v>132.25</v>
      </c>
      <c r="M8" s="61">
        <f t="shared" si="2"/>
        <v>10</v>
      </c>
      <c r="N8" s="61">
        <f t="shared" si="3"/>
        <v>142.25</v>
      </c>
    </row>
    <row r="9">
      <c r="A9" s="32"/>
      <c r="B9" s="23" t="s">
        <v>137</v>
      </c>
      <c r="C9" s="23">
        <v>2008.0</v>
      </c>
      <c r="D9" s="23" t="s">
        <v>223</v>
      </c>
      <c r="E9" s="23"/>
      <c r="F9" s="28">
        <v>565.0</v>
      </c>
      <c r="G9" s="28"/>
      <c r="H9" s="28"/>
      <c r="I9" s="29"/>
      <c r="J9" s="17"/>
      <c r="K9" s="17"/>
      <c r="L9" s="61">
        <f t="shared" si="1"/>
        <v>141.25</v>
      </c>
      <c r="M9" s="61">
        <f t="shared" si="2"/>
        <v>0</v>
      </c>
      <c r="N9" s="61">
        <f t="shared" si="3"/>
        <v>141.25</v>
      </c>
    </row>
    <row r="10">
      <c r="A10" s="32"/>
      <c r="B10" s="23" t="s">
        <v>144</v>
      </c>
      <c r="C10" s="23">
        <v>2012.0</v>
      </c>
      <c r="D10" s="23" t="s">
        <v>220</v>
      </c>
      <c r="E10" s="23" t="s">
        <v>21</v>
      </c>
      <c r="F10" s="113">
        <v>560.0</v>
      </c>
      <c r="G10" s="28"/>
      <c r="H10" s="28"/>
      <c r="I10" s="47"/>
      <c r="J10" s="17"/>
      <c r="K10" s="17"/>
      <c r="L10" s="61">
        <f t="shared" si="1"/>
        <v>140</v>
      </c>
      <c r="M10" s="61">
        <f t="shared" si="2"/>
        <v>0</v>
      </c>
      <c r="N10" s="61">
        <f t="shared" si="3"/>
        <v>140</v>
      </c>
    </row>
    <row r="11">
      <c r="A11" s="61"/>
      <c r="B11" s="23" t="s">
        <v>139</v>
      </c>
      <c r="C11" s="23">
        <v>2010.0</v>
      </c>
      <c r="D11" s="23" t="s">
        <v>32</v>
      </c>
      <c r="E11" s="23" t="s">
        <v>40</v>
      </c>
      <c r="F11" s="28">
        <v>558.0</v>
      </c>
      <c r="G11" s="28"/>
      <c r="H11" s="28"/>
      <c r="I11" s="101"/>
      <c r="J11" s="105"/>
      <c r="K11" s="105"/>
      <c r="L11" s="61">
        <f t="shared" si="1"/>
        <v>139.5</v>
      </c>
      <c r="M11" s="61">
        <f t="shared" si="2"/>
        <v>0</v>
      </c>
      <c r="N11" s="61">
        <f t="shared" si="3"/>
        <v>139.5</v>
      </c>
    </row>
    <row r="12">
      <c r="A12" s="61"/>
      <c r="B12" s="23" t="s">
        <v>140</v>
      </c>
      <c r="C12" s="23">
        <v>2007.0</v>
      </c>
      <c r="D12" s="23" t="s">
        <v>32</v>
      </c>
      <c r="E12" s="23" t="s">
        <v>34</v>
      </c>
      <c r="F12" s="28">
        <v>558.0</v>
      </c>
      <c r="G12" s="28"/>
      <c r="H12" s="28"/>
      <c r="I12" s="101"/>
      <c r="J12" s="105"/>
      <c r="K12" s="105"/>
      <c r="L12" s="61">
        <f t="shared" si="1"/>
        <v>139.5</v>
      </c>
      <c r="M12" s="61">
        <f t="shared" si="2"/>
        <v>0</v>
      </c>
      <c r="N12" s="61">
        <f t="shared" si="3"/>
        <v>139.5</v>
      </c>
    </row>
    <row r="13">
      <c r="A13" s="61"/>
      <c r="B13" s="23" t="s">
        <v>136</v>
      </c>
      <c r="C13" s="23">
        <v>2007.0</v>
      </c>
      <c r="D13" s="23" t="s">
        <v>223</v>
      </c>
      <c r="E13" s="23"/>
      <c r="F13" s="28">
        <v>558.0</v>
      </c>
      <c r="G13" s="28"/>
      <c r="H13" s="28"/>
      <c r="I13" s="29"/>
      <c r="J13" s="105"/>
      <c r="K13" s="105"/>
      <c r="L13" s="61">
        <f t="shared" si="1"/>
        <v>139.5</v>
      </c>
      <c r="M13" s="61">
        <f t="shared" si="2"/>
        <v>0</v>
      </c>
      <c r="N13" s="61">
        <f t="shared" si="3"/>
        <v>139.5</v>
      </c>
    </row>
    <row r="14">
      <c r="A14" s="32"/>
      <c r="B14" s="23" t="s">
        <v>142</v>
      </c>
      <c r="C14" s="23">
        <v>2009.0</v>
      </c>
      <c r="D14" s="23" t="s">
        <v>224</v>
      </c>
      <c r="E14" s="23" t="s">
        <v>40</v>
      </c>
      <c r="F14" s="28">
        <v>554.0</v>
      </c>
      <c r="G14" s="28"/>
      <c r="H14" s="28"/>
      <c r="I14" s="29"/>
      <c r="J14" s="17"/>
      <c r="K14" s="17"/>
      <c r="L14" s="61">
        <f t="shared" si="1"/>
        <v>138.5</v>
      </c>
      <c r="M14" s="61">
        <f t="shared" si="2"/>
        <v>0</v>
      </c>
      <c r="N14" s="61">
        <f t="shared" si="3"/>
        <v>138.5</v>
      </c>
    </row>
    <row r="15">
      <c r="A15" s="32"/>
      <c r="B15" s="108" t="s">
        <v>71</v>
      </c>
      <c r="C15" s="108">
        <v>2009.0</v>
      </c>
      <c r="D15" s="108" t="s">
        <v>225</v>
      </c>
      <c r="E15" s="23"/>
      <c r="F15" s="28">
        <v>550.0</v>
      </c>
      <c r="G15" s="28"/>
      <c r="H15" s="28"/>
      <c r="I15" s="112"/>
      <c r="J15" s="114"/>
      <c r="K15" s="114"/>
      <c r="L15" s="61">
        <f t="shared" si="1"/>
        <v>137.5</v>
      </c>
      <c r="M15" s="61">
        <f t="shared" si="2"/>
        <v>0</v>
      </c>
      <c r="N15" s="61">
        <f t="shared" si="3"/>
        <v>137.5</v>
      </c>
    </row>
    <row r="16">
      <c r="A16" s="32"/>
      <c r="B16" s="23" t="s">
        <v>152</v>
      </c>
      <c r="C16" s="23">
        <v>2008.0</v>
      </c>
      <c r="D16" s="23" t="s">
        <v>221</v>
      </c>
      <c r="E16" s="23"/>
      <c r="F16" s="28">
        <v>533.0</v>
      </c>
      <c r="G16" s="28"/>
      <c r="H16" s="28"/>
      <c r="I16" s="101"/>
      <c r="J16" s="105"/>
      <c r="K16" s="105"/>
      <c r="L16" s="61">
        <f t="shared" si="1"/>
        <v>133.25</v>
      </c>
      <c r="M16" s="61">
        <f t="shared" si="2"/>
        <v>0</v>
      </c>
      <c r="N16" s="61">
        <f t="shared" si="3"/>
        <v>133.25</v>
      </c>
    </row>
    <row r="17">
      <c r="A17" s="61"/>
      <c r="B17" s="23" t="s">
        <v>161</v>
      </c>
      <c r="C17" s="23">
        <v>2008.0</v>
      </c>
      <c r="D17" s="23" t="s">
        <v>32</v>
      </c>
      <c r="E17" s="23" t="s">
        <v>34</v>
      </c>
      <c r="F17" s="28">
        <v>532.0</v>
      </c>
      <c r="G17" s="28"/>
      <c r="H17" s="28"/>
      <c r="I17" s="101"/>
      <c r="J17" s="105"/>
      <c r="K17" s="105"/>
      <c r="L17" s="61">
        <f t="shared" si="1"/>
        <v>133</v>
      </c>
      <c r="M17" s="61">
        <f t="shared" si="2"/>
        <v>0</v>
      </c>
      <c r="N17" s="61">
        <f t="shared" si="3"/>
        <v>133</v>
      </c>
    </row>
    <row r="18">
      <c r="A18" s="32"/>
      <c r="B18" s="108" t="s">
        <v>143</v>
      </c>
      <c r="C18" s="108">
        <v>2006.0</v>
      </c>
      <c r="D18" s="108" t="s">
        <v>225</v>
      </c>
      <c r="E18" s="23"/>
      <c r="F18" s="28">
        <v>531.0</v>
      </c>
      <c r="G18" s="28"/>
      <c r="H18" s="28"/>
      <c r="I18" s="112"/>
      <c r="J18" s="112"/>
      <c r="K18" s="112"/>
      <c r="L18" s="61">
        <f t="shared" si="1"/>
        <v>132.75</v>
      </c>
      <c r="M18" s="61">
        <f t="shared" si="2"/>
        <v>0</v>
      </c>
      <c r="N18" s="61">
        <f t="shared" si="3"/>
        <v>132.75</v>
      </c>
    </row>
    <row r="19">
      <c r="A19" s="61"/>
      <c r="B19" s="23" t="s">
        <v>145</v>
      </c>
      <c r="C19" s="23">
        <v>2009.0</v>
      </c>
      <c r="D19" s="23" t="s">
        <v>224</v>
      </c>
      <c r="E19" s="23"/>
      <c r="F19" s="28">
        <v>530.0</v>
      </c>
      <c r="G19" s="28"/>
      <c r="H19" s="28"/>
      <c r="I19" s="105"/>
      <c r="J19" s="105"/>
      <c r="K19" s="105"/>
      <c r="L19" s="61">
        <f t="shared" si="1"/>
        <v>132.5</v>
      </c>
      <c r="M19" s="61">
        <f t="shared" si="2"/>
        <v>0</v>
      </c>
      <c r="N19" s="61">
        <f t="shared" si="3"/>
        <v>132.5</v>
      </c>
    </row>
    <row r="20">
      <c r="A20" s="61"/>
      <c r="B20" s="23" t="s">
        <v>77</v>
      </c>
      <c r="C20" s="23">
        <v>2008.0</v>
      </c>
      <c r="D20" s="23" t="s">
        <v>226</v>
      </c>
      <c r="E20" s="23"/>
      <c r="F20" s="28">
        <v>516.0</v>
      </c>
      <c r="G20" s="28"/>
      <c r="H20" s="28"/>
      <c r="I20" s="47"/>
      <c r="J20" s="105"/>
      <c r="K20" s="105"/>
      <c r="L20" s="61">
        <f t="shared" si="1"/>
        <v>129</v>
      </c>
      <c r="M20" s="61">
        <f t="shared" si="2"/>
        <v>0</v>
      </c>
      <c r="N20" s="61">
        <f t="shared" si="3"/>
        <v>129</v>
      </c>
    </row>
    <row r="21">
      <c r="A21" s="32"/>
      <c r="B21" s="23" t="s">
        <v>147</v>
      </c>
      <c r="C21" s="23">
        <v>2009.0</v>
      </c>
      <c r="D21" s="23" t="s">
        <v>224</v>
      </c>
      <c r="E21" s="23"/>
      <c r="F21" s="28">
        <v>508.0</v>
      </c>
      <c r="G21" s="28"/>
      <c r="H21" s="28"/>
      <c r="I21" s="105"/>
      <c r="J21" s="105"/>
      <c r="K21" s="105"/>
      <c r="L21" s="61">
        <f t="shared" si="1"/>
        <v>127</v>
      </c>
      <c r="M21" s="61">
        <f t="shared" si="2"/>
        <v>0</v>
      </c>
      <c r="N21" s="61">
        <f t="shared" si="3"/>
        <v>127</v>
      </c>
    </row>
    <row r="22">
      <c r="A22" s="32"/>
      <c r="B22" s="108" t="s">
        <v>154</v>
      </c>
      <c r="C22" s="108">
        <v>2006.0</v>
      </c>
      <c r="D22" s="108" t="s">
        <v>226</v>
      </c>
      <c r="E22" s="108"/>
      <c r="F22" s="28">
        <v>506.0</v>
      </c>
      <c r="G22" s="28"/>
      <c r="H22" s="28"/>
      <c r="I22" s="112"/>
      <c r="J22" s="114"/>
      <c r="K22" s="114"/>
      <c r="L22" s="61">
        <f t="shared" si="1"/>
        <v>126.5</v>
      </c>
      <c r="M22" s="61">
        <f t="shared" si="2"/>
        <v>0</v>
      </c>
      <c r="N22" s="61">
        <f t="shared" si="3"/>
        <v>126.5</v>
      </c>
    </row>
    <row r="23">
      <c r="A23" s="61"/>
      <c r="B23" s="23" t="s">
        <v>131</v>
      </c>
      <c r="C23" s="23">
        <v>2011.0</v>
      </c>
      <c r="D23" s="23" t="s">
        <v>226</v>
      </c>
      <c r="E23" s="23"/>
      <c r="F23" s="28">
        <v>498.0</v>
      </c>
      <c r="G23" s="28"/>
      <c r="H23" s="28"/>
      <c r="I23" s="101"/>
      <c r="J23" s="105"/>
      <c r="K23" s="105"/>
      <c r="L23" s="61">
        <f t="shared" si="1"/>
        <v>124.5</v>
      </c>
      <c r="M23" s="61">
        <f t="shared" si="2"/>
        <v>0</v>
      </c>
      <c r="N23" s="61">
        <f t="shared" si="3"/>
        <v>124.5</v>
      </c>
    </row>
    <row r="24">
      <c r="A24" s="61"/>
      <c r="B24" s="23" t="s">
        <v>124</v>
      </c>
      <c r="C24" s="23">
        <v>2008.0</v>
      </c>
      <c r="D24" s="23" t="s">
        <v>202</v>
      </c>
      <c r="E24" s="23" t="s">
        <v>34</v>
      </c>
      <c r="F24" s="28">
        <v>302.0</v>
      </c>
      <c r="G24" s="28"/>
      <c r="H24" s="28"/>
      <c r="I24" s="101"/>
      <c r="J24" s="105"/>
      <c r="K24" s="105"/>
      <c r="L24" s="61">
        <f t="shared" si="1"/>
        <v>75.5</v>
      </c>
      <c r="M24" s="61">
        <f t="shared" si="2"/>
        <v>0</v>
      </c>
      <c r="N24" s="61">
        <f t="shared" si="3"/>
        <v>75.5</v>
      </c>
    </row>
    <row r="25">
      <c r="A25" s="32"/>
      <c r="B25" s="108" t="s">
        <v>227</v>
      </c>
      <c r="C25" s="108">
        <v>2010.0</v>
      </c>
      <c r="D25" s="108" t="s">
        <v>213</v>
      </c>
      <c r="E25" s="108"/>
      <c r="F25" s="28">
        <v>253.0</v>
      </c>
      <c r="G25" s="28"/>
      <c r="H25" s="28"/>
      <c r="I25" s="114"/>
      <c r="J25" s="114"/>
      <c r="K25" s="114"/>
      <c r="L25" s="61">
        <f t="shared" si="1"/>
        <v>63.25</v>
      </c>
      <c r="M25" s="61">
        <f t="shared" si="2"/>
        <v>0</v>
      </c>
      <c r="N25" s="61">
        <f t="shared" si="3"/>
        <v>63.25</v>
      </c>
    </row>
    <row r="26">
      <c r="A26" s="61"/>
      <c r="B26" s="108"/>
      <c r="C26" s="108"/>
      <c r="D26" s="108"/>
      <c r="E26" s="108"/>
      <c r="F26" s="28"/>
      <c r="G26" s="28"/>
      <c r="H26" s="28"/>
      <c r="I26" s="112"/>
      <c r="J26" s="114"/>
      <c r="K26" s="114"/>
      <c r="L26" s="61">
        <f t="shared" si="1"/>
        <v>0</v>
      </c>
      <c r="M26" s="61">
        <f t="shared" si="2"/>
        <v>0</v>
      </c>
      <c r="N26" s="61">
        <f t="shared" si="3"/>
        <v>0</v>
      </c>
    </row>
    <row r="27">
      <c r="A27" s="32"/>
      <c r="B27" s="115"/>
      <c r="C27" s="115"/>
      <c r="D27" s="115"/>
      <c r="E27" s="115"/>
      <c r="F27" s="118"/>
      <c r="G27" s="118"/>
      <c r="H27" s="118"/>
      <c r="I27" s="119"/>
      <c r="J27" s="119"/>
      <c r="K27" s="119"/>
      <c r="L27" s="61">
        <f t="shared" si="1"/>
        <v>0</v>
      </c>
      <c r="M27" s="61">
        <f t="shared" si="2"/>
        <v>0</v>
      </c>
      <c r="N27" s="61">
        <f t="shared" si="3"/>
        <v>0</v>
      </c>
    </row>
    <row r="28">
      <c r="A28" s="32"/>
      <c r="B28" s="23"/>
      <c r="C28" s="23"/>
      <c r="D28" s="23"/>
      <c r="E28" s="23"/>
      <c r="F28" s="28"/>
      <c r="G28" s="28"/>
      <c r="H28" s="28"/>
      <c r="I28" s="101"/>
      <c r="J28" s="105"/>
      <c r="K28" s="105"/>
      <c r="L28" s="61">
        <f t="shared" si="1"/>
        <v>0</v>
      </c>
      <c r="M28" s="61">
        <f t="shared" si="2"/>
        <v>0</v>
      </c>
      <c r="N28" s="61">
        <f t="shared" si="3"/>
        <v>0</v>
      </c>
    </row>
    <row r="29">
      <c r="A29" s="61"/>
      <c r="B29" s="23"/>
      <c r="C29" s="23"/>
      <c r="D29" s="23"/>
      <c r="E29" s="23"/>
      <c r="F29" s="28"/>
      <c r="G29" s="28"/>
      <c r="H29" s="28"/>
      <c r="I29" s="101"/>
      <c r="J29" s="105"/>
      <c r="K29" s="105"/>
      <c r="L29" s="61">
        <f t="shared" si="1"/>
        <v>0</v>
      </c>
      <c r="M29" s="61">
        <f t="shared" si="2"/>
        <v>0</v>
      </c>
      <c r="N29" s="61">
        <f t="shared" si="3"/>
        <v>0</v>
      </c>
    </row>
    <row r="30">
      <c r="A30" s="61"/>
      <c r="B30" s="115"/>
      <c r="C30" s="115"/>
      <c r="D30" s="115"/>
      <c r="E30" s="115"/>
      <c r="F30" s="118"/>
      <c r="G30" s="120"/>
      <c r="H30" s="120"/>
      <c r="I30" s="119"/>
      <c r="J30" s="119"/>
      <c r="K30" s="119"/>
      <c r="L30" s="61">
        <f t="shared" si="1"/>
        <v>0</v>
      </c>
      <c r="M30" s="61">
        <f t="shared" si="2"/>
        <v>0</v>
      </c>
      <c r="N30" s="61">
        <f t="shared" si="3"/>
        <v>0</v>
      </c>
    </row>
    <row r="31">
      <c r="A31" s="32"/>
      <c r="B31" s="23"/>
      <c r="C31" s="23"/>
      <c r="D31" s="23"/>
      <c r="E31" s="23"/>
      <c r="F31" s="28"/>
      <c r="G31" s="28"/>
      <c r="H31" s="28"/>
      <c r="I31" s="47"/>
      <c r="J31" s="105"/>
      <c r="K31" s="105"/>
      <c r="L31" s="61">
        <f t="shared" si="1"/>
        <v>0</v>
      </c>
      <c r="M31" s="61">
        <f t="shared" si="2"/>
        <v>0</v>
      </c>
      <c r="N31" s="61">
        <f t="shared" si="3"/>
        <v>0</v>
      </c>
    </row>
    <row r="32">
      <c r="A32" s="61"/>
      <c r="B32" s="108"/>
      <c r="C32" s="108"/>
      <c r="D32" s="108"/>
      <c r="E32" s="108"/>
      <c r="F32" s="28"/>
      <c r="G32" s="28"/>
      <c r="H32" s="28"/>
      <c r="I32" s="114"/>
      <c r="J32" s="114"/>
      <c r="K32" s="114"/>
      <c r="L32" s="61">
        <f t="shared" si="1"/>
        <v>0</v>
      </c>
      <c r="M32" s="61">
        <f t="shared" si="2"/>
        <v>0</v>
      </c>
      <c r="N32" s="61">
        <f t="shared" si="3"/>
        <v>0</v>
      </c>
    </row>
    <row r="33">
      <c r="A33" s="61"/>
      <c r="B33" s="108"/>
      <c r="C33" s="108"/>
      <c r="D33" s="108"/>
      <c r="E33" s="108"/>
      <c r="F33" s="28"/>
      <c r="G33" s="28"/>
      <c r="H33" s="28"/>
      <c r="I33" s="114"/>
      <c r="J33" s="114"/>
      <c r="K33" s="114"/>
      <c r="L33" s="61">
        <f t="shared" si="1"/>
        <v>0</v>
      </c>
      <c r="M33" s="61">
        <f t="shared" si="2"/>
        <v>0</v>
      </c>
      <c r="N33" s="61">
        <f t="shared" si="3"/>
        <v>0</v>
      </c>
    </row>
    <row r="34">
      <c r="A34" s="32"/>
      <c r="B34" s="31"/>
      <c r="C34" s="31"/>
      <c r="D34" s="31"/>
      <c r="E34" s="31"/>
      <c r="F34" s="28"/>
      <c r="G34" s="28"/>
      <c r="H34" s="28"/>
      <c r="I34" s="112"/>
      <c r="J34" s="114"/>
      <c r="K34" s="114"/>
      <c r="L34" s="61">
        <f t="shared" si="1"/>
        <v>0</v>
      </c>
      <c r="M34" s="61">
        <f t="shared" si="2"/>
        <v>0</v>
      </c>
      <c r="N34" s="61">
        <f t="shared" si="3"/>
        <v>0</v>
      </c>
    </row>
    <row r="35">
      <c r="A35" s="32"/>
      <c r="B35" s="115"/>
      <c r="C35" s="115"/>
      <c r="D35" s="115"/>
      <c r="E35" s="115"/>
      <c r="F35" s="118"/>
      <c r="G35" s="120"/>
      <c r="H35" s="120"/>
      <c r="I35" s="119"/>
      <c r="J35" s="119"/>
      <c r="K35" s="119"/>
      <c r="L35" s="61">
        <f t="shared" si="1"/>
        <v>0</v>
      </c>
      <c r="M35" s="61">
        <f t="shared" si="2"/>
        <v>0</v>
      </c>
      <c r="N35" s="61">
        <f t="shared" si="3"/>
        <v>0</v>
      </c>
    </row>
    <row r="36">
      <c r="A36" s="61"/>
      <c r="B36" s="108"/>
      <c r="C36" s="108"/>
      <c r="D36" s="108"/>
      <c r="E36" s="108"/>
      <c r="F36" s="28"/>
      <c r="G36" s="28"/>
      <c r="H36" s="28"/>
      <c r="I36" s="114"/>
      <c r="J36" s="114"/>
      <c r="K36" s="114"/>
      <c r="L36" s="61">
        <f t="shared" si="1"/>
        <v>0</v>
      </c>
      <c r="M36" s="61">
        <f t="shared" si="2"/>
        <v>0</v>
      </c>
      <c r="N36" s="61">
        <f t="shared" si="3"/>
        <v>0</v>
      </c>
    </row>
    <row r="37">
      <c r="A37" s="32"/>
      <c r="B37" s="31"/>
      <c r="C37" s="31"/>
      <c r="D37" s="31"/>
      <c r="E37" s="31"/>
      <c r="F37" s="28"/>
      <c r="G37" s="28"/>
      <c r="H37" s="28"/>
      <c r="I37" s="112"/>
      <c r="J37" s="114"/>
      <c r="K37" s="114"/>
      <c r="L37" s="61">
        <f t="shared" si="1"/>
        <v>0</v>
      </c>
      <c r="M37" s="61">
        <f t="shared" si="2"/>
        <v>0</v>
      </c>
      <c r="N37" s="61">
        <f t="shared" si="3"/>
        <v>0</v>
      </c>
    </row>
    <row r="38">
      <c r="A38" s="61"/>
      <c r="B38" s="23"/>
      <c r="C38" s="23"/>
      <c r="D38" s="23"/>
      <c r="E38" s="23"/>
      <c r="F38" s="28"/>
      <c r="G38" s="28"/>
      <c r="H38" s="28"/>
      <c r="I38" s="105"/>
      <c r="J38" s="105"/>
      <c r="K38" s="105"/>
      <c r="L38" s="61">
        <f t="shared" si="1"/>
        <v>0</v>
      </c>
      <c r="M38" s="61">
        <f t="shared" si="2"/>
        <v>0</v>
      </c>
      <c r="N38" s="61">
        <f t="shared" si="3"/>
        <v>0</v>
      </c>
    </row>
    <row r="39">
      <c r="A39" s="61"/>
      <c r="B39" s="108"/>
      <c r="C39" s="121"/>
      <c r="D39" s="121"/>
      <c r="E39" s="121"/>
      <c r="F39" s="28"/>
      <c r="G39" s="28"/>
      <c r="H39" s="28"/>
      <c r="I39" s="114"/>
      <c r="J39" s="114"/>
      <c r="K39" s="114"/>
      <c r="L39" s="61">
        <f t="shared" si="1"/>
        <v>0</v>
      </c>
      <c r="M39" s="61">
        <f t="shared" si="2"/>
        <v>0</v>
      </c>
      <c r="N39" s="61">
        <f t="shared" si="3"/>
        <v>0</v>
      </c>
    </row>
    <row r="40">
      <c r="A40" s="61"/>
      <c r="B40" s="115"/>
      <c r="C40" s="115"/>
      <c r="D40" s="115"/>
      <c r="E40" s="115"/>
      <c r="F40" s="118"/>
      <c r="G40" s="120"/>
      <c r="H40" s="120"/>
      <c r="I40" s="119"/>
      <c r="J40" s="119"/>
      <c r="K40" s="119"/>
      <c r="L40" s="61">
        <f t="shared" si="1"/>
        <v>0</v>
      </c>
      <c r="M40" s="61">
        <f t="shared" si="2"/>
        <v>0</v>
      </c>
      <c r="N40" s="61">
        <f t="shared" si="3"/>
        <v>0</v>
      </c>
    </row>
    <row r="41">
      <c r="A41" s="32"/>
      <c r="B41" s="23"/>
      <c r="C41" s="23"/>
      <c r="D41" s="23"/>
      <c r="E41" s="23"/>
      <c r="F41" s="28"/>
      <c r="G41" s="28"/>
      <c r="H41" s="28"/>
      <c r="I41" s="105"/>
      <c r="J41" s="105"/>
      <c r="K41" s="105"/>
      <c r="L41" s="61">
        <f t="shared" si="1"/>
        <v>0</v>
      </c>
      <c r="M41" s="61">
        <f t="shared" si="2"/>
        <v>0</v>
      </c>
      <c r="N41" s="61">
        <f t="shared" si="3"/>
        <v>0</v>
      </c>
    </row>
    <row r="42">
      <c r="A42" s="32"/>
      <c r="B42" s="115"/>
      <c r="C42" s="115"/>
      <c r="D42" s="115"/>
      <c r="E42" s="115"/>
      <c r="F42" s="118"/>
      <c r="G42" s="120"/>
      <c r="H42" s="120"/>
      <c r="I42" s="119"/>
      <c r="J42" s="119"/>
      <c r="K42" s="119"/>
      <c r="L42" s="61">
        <f t="shared" si="1"/>
        <v>0</v>
      </c>
      <c r="M42" s="61">
        <f t="shared" si="2"/>
        <v>0</v>
      </c>
      <c r="N42" s="61">
        <f t="shared" si="3"/>
        <v>0</v>
      </c>
    </row>
    <row r="43">
      <c r="A43" s="61"/>
      <c r="B43" s="108"/>
      <c r="C43" s="108"/>
      <c r="D43" s="108"/>
      <c r="E43" s="108"/>
      <c r="F43" s="28"/>
      <c r="G43" s="28"/>
      <c r="H43" s="28"/>
      <c r="I43" s="114"/>
      <c r="J43" s="114"/>
      <c r="K43" s="114"/>
      <c r="L43" s="61">
        <f t="shared" si="1"/>
        <v>0</v>
      </c>
      <c r="M43" s="61">
        <f t="shared" si="2"/>
        <v>0</v>
      </c>
      <c r="N43" s="61">
        <f t="shared" si="3"/>
        <v>0</v>
      </c>
    </row>
    <row r="44">
      <c r="A44" s="32"/>
      <c r="B44" s="31"/>
      <c r="C44" s="31"/>
      <c r="D44" s="31"/>
      <c r="E44" s="31"/>
      <c r="F44" s="28"/>
      <c r="G44" s="28"/>
      <c r="H44" s="28"/>
      <c r="I44" s="112"/>
      <c r="J44" s="114"/>
      <c r="K44" s="114"/>
      <c r="L44" s="61">
        <f t="shared" si="1"/>
        <v>0</v>
      </c>
      <c r="M44" s="61">
        <f t="shared" si="2"/>
        <v>0</v>
      </c>
      <c r="N44" s="61">
        <f t="shared" si="3"/>
        <v>0</v>
      </c>
    </row>
    <row r="45">
      <c r="A45" s="61"/>
      <c r="B45" s="23"/>
      <c r="C45" s="23"/>
      <c r="D45" s="23"/>
      <c r="E45" s="23"/>
      <c r="F45" s="28"/>
      <c r="G45" s="28"/>
      <c r="H45" s="28"/>
      <c r="I45" s="105"/>
      <c r="J45" s="105"/>
      <c r="K45" s="105"/>
      <c r="L45" s="61">
        <f t="shared" si="1"/>
        <v>0</v>
      </c>
      <c r="M45" s="61">
        <f t="shared" si="2"/>
        <v>0</v>
      </c>
      <c r="N45" s="61">
        <f t="shared" si="3"/>
        <v>0</v>
      </c>
    </row>
    <row r="46">
      <c r="A46" s="32"/>
      <c r="B46" s="108"/>
      <c r="C46" s="108"/>
      <c r="D46" s="108"/>
      <c r="E46" s="108"/>
      <c r="F46" s="28"/>
      <c r="G46" s="28"/>
      <c r="H46" s="28"/>
      <c r="I46" s="112"/>
      <c r="J46" s="114"/>
      <c r="K46" s="114"/>
      <c r="L46" s="61">
        <f t="shared" si="1"/>
        <v>0</v>
      </c>
      <c r="M46" s="61">
        <f t="shared" si="2"/>
        <v>0</v>
      </c>
      <c r="N46" s="61">
        <f t="shared" si="3"/>
        <v>0</v>
      </c>
    </row>
    <row r="47">
      <c r="A47" s="61"/>
      <c r="B47" s="23"/>
      <c r="C47" s="23"/>
      <c r="D47" s="23"/>
      <c r="E47" s="23"/>
      <c r="F47" s="28"/>
      <c r="G47" s="28"/>
      <c r="H47" s="28"/>
      <c r="I47" s="105"/>
      <c r="J47" s="105"/>
      <c r="K47" s="105"/>
      <c r="L47" s="61">
        <f t="shared" si="1"/>
        <v>0</v>
      </c>
      <c r="M47" s="61">
        <f t="shared" si="2"/>
        <v>0</v>
      </c>
      <c r="N47" s="61">
        <f t="shared" si="3"/>
        <v>0</v>
      </c>
    </row>
    <row r="48">
      <c r="A48" s="32"/>
      <c r="B48" s="31"/>
      <c r="C48" s="31"/>
      <c r="D48" s="31"/>
      <c r="E48" s="31"/>
      <c r="F48" s="28"/>
      <c r="G48" s="28"/>
      <c r="H48" s="28"/>
      <c r="I48" s="112"/>
      <c r="J48" s="114"/>
      <c r="K48" s="114"/>
      <c r="L48" s="61">
        <f t="shared" si="1"/>
        <v>0</v>
      </c>
      <c r="M48" s="61">
        <f t="shared" si="2"/>
        <v>0</v>
      </c>
      <c r="N48" s="61">
        <f t="shared" si="3"/>
        <v>0</v>
      </c>
    </row>
  </sheetData>
  <autoFilter ref="$A$4:$N$48">
    <sortState ref="A4:N48">
      <sortCondition descending="1" ref="N4:N48"/>
    </sortState>
  </autoFilter>
  <mergeCells count="2">
    <mergeCell ref="F3:H3"/>
    <mergeCell ref="I3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3" max="3" width="8.38"/>
    <col customWidth="1" min="6" max="9" width="6.0"/>
    <col customWidth="1" min="10" max="11" width="5.25"/>
  </cols>
  <sheetData>
    <row r="1">
      <c r="E1" s="124"/>
    </row>
    <row r="2">
      <c r="A2" s="1"/>
      <c r="E2" s="124"/>
    </row>
    <row r="3">
      <c r="A3" s="2"/>
      <c r="B3" s="3"/>
      <c r="C3" s="3"/>
      <c r="D3" s="3"/>
      <c r="E3" s="87"/>
      <c r="F3" s="8" t="s">
        <v>218</v>
      </c>
      <c r="G3" s="5"/>
      <c r="H3" s="6"/>
      <c r="I3" s="9" t="s">
        <v>3</v>
      </c>
      <c r="J3" s="5"/>
      <c r="K3" s="6"/>
      <c r="L3" s="90"/>
      <c r="M3" s="90"/>
      <c r="N3" s="3"/>
    </row>
    <row r="4">
      <c r="A4" s="99" t="s">
        <v>4</v>
      </c>
      <c r="B4" s="99" t="s">
        <v>5</v>
      </c>
      <c r="C4" s="99"/>
      <c r="D4" s="99" t="s">
        <v>6</v>
      </c>
      <c r="E4" s="13" t="s">
        <v>219</v>
      </c>
      <c r="F4" s="16" t="s">
        <v>8</v>
      </c>
      <c r="G4" s="16" t="s">
        <v>9</v>
      </c>
      <c r="H4" s="16" t="s">
        <v>10</v>
      </c>
      <c r="I4" s="17" t="s">
        <v>8</v>
      </c>
      <c r="J4" s="17" t="s">
        <v>9</v>
      </c>
      <c r="K4" s="17" t="s">
        <v>10</v>
      </c>
      <c r="L4" s="18" t="s">
        <v>11</v>
      </c>
      <c r="M4" s="19" t="s">
        <v>12</v>
      </c>
      <c r="N4" s="20" t="s">
        <v>13</v>
      </c>
    </row>
    <row r="5">
      <c r="A5" s="61"/>
      <c r="B5" s="23" t="s">
        <v>101</v>
      </c>
      <c r="C5" s="23">
        <v>2006.0</v>
      </c>
      <c r="D5" s="23" t="s">
        <v>202</v>
      </c>
      <c r="E5" s="33" t="s">
        <v>40</v>
      </c>
      <c r="F5" s="28">
        <v>554.0</v>
      </c>
      <c r="G5" s="28">
        <v>6.0</v>
      </c>
      <c r="H5" s="28">
        <v>20.0</v>
      </c>
      <c r="I5" s="101"/>
      <c r="J5" s="105"/>
      <c r="K5" s="105"/>
      <c r="L5" s="61">
        <f t="shared" ref="L5:L47" si="1">(I5+F5)/4</f>
        <v>138.5</v>
      </c>
      <c r="M5" s="61">
        <f t="shared" ref="M5:M47" si="2">K5+H5</f>
        <v>20</v>
      </c>
      <c r="N5" s="61">
        <f t="shared" ref="N5:N47" si="3">L5+M5</f>
        <v>158.5</v>
      </c>
    </row>
    <row r="6">
      <c r="A6" s="125"/>
      <c r="B6" s="126" t="s">
        <v>99</v>
      </c>
      <c r="C6" s="23">
        <v>2005.0</v>
      </c>
      <c r="D6" s="23" t="s">
        <v>222</v>
      </c>
      <c r="E6" s="33" t="s">
        <v>40</v>
      </c>
      <c r="F6" s="28">
        <v>558.0</v>
      </c>
      <c r="G6" s="28"/>
      <c r="H6" s="28"/>
      <c r="I6" s="29"/>
      <c r="J6" s="17"/>
      <c r="K6" s="17"/>
      <c r="L6" s="61">
        <f t="shared" si="1"/>
        <v>139.5</v>
      </c>
      <c r="M6" s="61">
        <f t="shared" si="2"/>
        <v>0</v>
      </c>
      <c r="N6" s="61">
        <f t="shared" si="3"/>
        <v>139.5</v>
      </c>
    </row>
    <row r="7">
      <c r="A7" s="61"/>
      <c r="B7" s="23" t="s">
        <v>182</v>
      </c>
      <c r="C7" s="23">
        <v>2006.0</v>
      </c>
      <c r="D7" s="23" t="s">
        <v>221</v>
      </c>
      <c r="E7" s="33" t="s">
        <v>21</v>
      </c>
      <c r="F7" s="28">
        <v>527.0</v>
      </c>
      <c r="G7" s="28"/>
      <c r="H7" s="28"/>
      <c r="I7" s="29"/>
      <c r="J7" s="105"/>
      <c r="K7" s="105"/>
      <c r="L7" s="61">
        <f t="shared" si="1"/>
        <v>131.75</v>
      </c>
      <c r="M7" s="61">
        <f t="shared" si="2"/>
        <v>0</v>
      </c>
      <c r="N7" s="61">
        <f t="shared" si="3"/>
        <v>131.75</v>
      </c>
    </row>
    <row r="8">
      <c r="A8" s="32"/>
      <c r="B8" s="23" t="s">
        <v>177</v>
      </c>
      <c r="C8" s="23">
        <v>2009.0</v>
      </c>
      <c r="D8" s="23" t="s">
        <v>220</v>
      </c>
      <c r="E8" s="33"/>
      <c r="F8" s="113">
        <v>516.0</v>
      </c>
      <c r="G8" s="28"/>
      <c r="H8" s="28"/>
      <c r="I8" s="47"/>
      <c r="J8" s="17"/>
      <c r="K8" s="17"/>
      <c r="L8" s="61">
        <f t="shared" si="1"/>
        <v>129</v>
      </c>
      <c r="M8" s="61">
        <f t="shared" si="2"/>
        <v>0</v>
      </c>
      <c r="N8" s="61">
        <f t="shared" si="3"/>
        <v>129</v>
      </c>
    </row>
    <row r="9">
      <c r="A9" s="61"/>
      <c r="B9" s="23" t="s">
        <v>184</v>
      </c>
      <c r="C9" s="23">
        <v>2008.0</v>
      </c>
      <c r="D9" s="23" t="s">
        <v>223</v>
      </c>
      <c r="E9" s="33"/>
      <c r="F9" s="28">
        <v>514.0</v>
      </c>
      <c r="G9" s="28"/>
      <c r="H9" s="28"/>
      <c r="I9" s="101"/>
      <c r="J9" s="105"/>
      <c r="K9" s="105"/>
      <c r="L9" s="61">
        <f t="shared" si="1"/>
        <v>128.5</v>
      </c>
      <c r="M9" s="61">
        <f t="shared" si="2"/>
        <v>0</v>
      </c>
      <c r="N9" s="61">
        <f t="shared" si="3"/>
        <v>128.5</v>
      </c>
    </row>
    <row r="10">
      <c r="A10" s="61"/>
      <c r="B10" s="23" t="s">
        <v>180</v>
      </c>
      <c r="C10" s="23">
        <v>2010.0</v>
      </c>
      <c r="D10" s="23" t="s">
        <v>223</v>
      </c>
      <c r="E10" s="33" t="s">
        <v>228</v>
      </c>
      <c r="F10" s="28">
        <v>506.0</v>
      </c>
      <c r="G10" s="28"/>
      <c r="H10" s="28"/>
      <c r="I10" s="101"/>
      <c r="J10" s="105"/>
      <c r="K10" s="105"/>
      <c r="L10" s="61">
        <f t="shared" si="1"/>
        <v>126.5</v>
      </c>
      <c r="M10" s="61">
        <f t="shared" si="2"/>
        <v>0</v>
      </c>
      <c r="N10" s="61">
        <f t="shared" si="3"/>
        <v>126.5</v>
      </c>
    </row>
    <row r="11">
      <c r="A11" s="61"/>
      <c r="B11" s="23" t="s">
        <v>183</v>
      </c>
      <c r="C11" s="23">
        <v>2009.0</v>
      </c>
      <c r="D11" s="23" t="s">
        <v>221</v>
      </c>
      <c r="E11" s="33" t="s">
        <v>21</v>
      </c>
      <c r="F11" s="28">
        <v>500.0</v>
      </c>
      <c r="G11" s="28"/>
      <c r="H11" s="28"/>
      <c r="I11" s="29"/>
      <c r="J11" s="105"/>
      <c r="K11" s="105"/>
      <c r="L11" s="61">
        <f t="shared" si="1"/>
        <v>125</v>
      </c>
      <c r="M11" s="61">
        <f t="shared" si="2"/>
        <v>0</v>
      </c>
      <c r="N11" s="61">
        <f t="shared" si="3"/>
        <v>125</v>
      </c>
    </row>
    <row r="12">
      <c r="A12" s="32"/>
      <c r="B12" s="23" t="s">
        <v>188</v>
      </c>
      <c r="C12" s="23">
        <v>2008.0</v>
      </c>
      <c r="D12" s="23" t="s">
        <v>32</v>
      </c>
      <c r="E12" s="33" t="s">
        <v>34</v>
      </c>
      <c r="F12" s="28">
        <v>499.0</v>
      </c>
      <c r="G12" s="28"/>
      <c r="H12" s="28"/>
      <c r="I12" s="29"/>
      <c r="J12" s="17"/>
      <c r="K12" s="17"/>
      <c r="L12" s="61">
        <f t="shared" si="1"/>
        <v>124.75</v>
      </c>
      <c r="M12" s="61">
        <f t="shared" si="2"/>
        <v>0</v>
      </c>
      <c r="N12" s="61">
        <f t="shared" si="3"/>
        <v>124.75</v>
      </c>
    </row>
    <row r="13">
      <c r="A13" s="32"/>
      <c r="B13" s="108" t="s">
        <v>108</v>
      </c>
      <c r="C13" s="108">
        <v>2010.0</v>
      </c>
      <c r="D13" s="108" t="s">
        <v>223</v>
      </c>
      <c r="E13" s="33"/>
      <c r="F13" s="28">
        <v>486.0</v>
      </c>
      <c r="G13" s="28"/>
      <c r="H13" s="28"/>
      <c r="I13" s="112"/>
      <c r="J13" s="114"/>
      <c r="K13" s="114"/>
      <c r="L13" s="61">
        <f t="shared" si="1"/>
        <v>121.5</v>
      </c>
      <c r="M13" s="61">
        <f t="shared" si="2"/>
        <v>0</v>
      </c>
      <c r="N13" s="61">
        <f t="shared" si="3"/>
        <v>121.5</v>
      </c>
    </row>
    <row r="14">
      <c r="A14" s="32"/>
      <c r="B14" s="23" t="s">
        <v>122</v>
      </c>
      <c r="C14" s="23">
        <v>2010.0</v>
      </c>
      <c r="D14" s="23" t="s">
        <v>32</v>
      </c>
      <c r="E14" s="33"/>
      <c r="F14" s="28">
        <v>485.0</v>
      </c>
      <c r="G14" s="28"/>
      <c r="H14" s="28"/>
      <c r="I14" s="101"/>
      <c r="J14" s="105"/>
      <c r="K14" s="105"/>
      <c r="L14" s="61">
        <f t="shared" si="1"/>
        <v>121.25</v>
      </c>
      <c r="M14" s="61">
        <f t="shared" si="2"/>
        <v>0</v>
      </c>
      <c r="N14" s="61">
        <f t="shared" si="3"/>
        <v>121.25</v>
      </c>
    </row>
    <row r="15">
      <c r="A15" s="61"/>
      <c r="B15" s="23" t="s">
        <v>121</v>
      </c>
      <c r="C15" s="23">
        <v>2007.0</v>
      </c>
      <c r="D15" s="23" t="s">
        <v>226</v>
      </c>
      <c r="E15" s="33" t="s">
        <v>40</v>
      </c>
      <c r="F15" s="28">
        <v>476.0</v>
      </c>
      <c r="G15" s="28"/>
      <c r="H15" s="28"/>
      <c r="I15" s="101"/>
      <c r="J15" s="105"/>
      <c r="K15" s="105"/>
      <c r="L15" s="61">
        <f t="shared" si="1"/>
        <v>119</v>
      </c>
      <c r="M15" s="61">
        <f t="shared" si="2"/>
        <v>0</v>
      </c>
      <c r="N15" s="61">
        <f t="shared" si="3"/>
        <v>119</v>
      </c>
    </row>
    <row r="16">
      <c r="A16" s="32"/>
      <c r="B16" s="108" t="s">
        <v>192</v>
      </c>
      <c r="C16" s="108">
        <v>2009.0</v>
      </c>
      <c r="D16" s="108" t="s">
        <v>225</v>
      </c>
      <c r="E16" s="33"/>
      <c r="F16" s="28">
        <v>467.0</v>
      </c>
      <c r="G16" s="28"/>
      <c r="H16" s="28"/>
      <c r="I16" s="112"/>
      <c r="J16" s="112"/>
      <c r="K16" s="112"/>
      <c r="L16" s="61">
        <f t="shared" si="1"/>
        <v>116.75</v>
      </c>
      <c r="M16" s="61">
        <f t="shared" si="2"/>
        <v>0</v>
      </c>
      <c r="N16" s="61">
        <f t="shared" si="3"/>
        <v>116.75</v>
      </c>
    </row>
    <row r="17">
      <c r="A17" s="61"/>
      <c r="B17" s="23" t="s">
        <v>196</v>
      </c>
      <c r="C17" s="23">
        <v>2011.0</v>
      </c>
      <c r="D17" s="23" t="s">
        <v>225</v>
      </c>
      <c r="E17" s="33"/>
      <c r="F17" s="28">
        <v>450.0</v>
      </c>
      <c r="G17" s="28"/>
      <c r="H17" s="28"/>
      <c r="I17" s="105"/>
      <c r="J17" s="105"/>
      <c r="K17" s="105"/>
      <c r="L17" s="61">
        <f t="shared" si="1"/>
        <v>112.5</v>
      </c>
      <c r="M17" s="61">
        <f t="shared" si="2"/>
        <v>0</v>
      </c>
      <c r="N17" s="61">
        <f t="shared" si="3"/>
        <v>112.5</v>
      </c>
    </row>
    <row r="18">
      <c r="A18" s="61"/>
      <c r="B18" s="108" t="s">
        <v>229</v>
      </c>
      <c r="C18" s="108">
        <v>2009.0</v>
      </c>
      <c r="D18" s="108" t="s">
        <v>32</v>
      </c>
      <c r="E18" s="33"/>
      <c r="F18" s="28">
        <v>447.0</v>
      </c>
      <c r="G18" s="28"/>
      <c r="H18" s="28"/>
      <c r="I18" s="112"/>
      <c r="J18" s="114"/>
      <c r="K18" s="114"/>
      <c r="L18" s="61">
        <f t="shared" si="1"/>
        <v>111.75</v>
      </c>
      <c r="M18" s="61">
        <f t="shared" si="2"/>
        <v>0</v>
      </c>
      <c r="N18" s="61">
        <f t="shared" si="3"/>
        <v>111.75</v>
      </c>
    </row>
    <row r="19">
      <c r="A19" s="61"/>
      <c r="B19" s="23" t="s">
        <v>195</v>
      </c>
      <c r="C19" s="23">
        <v>2008.0</v>
      </c>
      <c r="D19" s="23" t="s">
        <v>224</v>
      </c>
      <c r="E19" s="33"/>
      <c r="F19" s="28">
        <v>394.0</v>
      </c>
      <c r="G19" s="28"/>
      <c r="H19" s="28"/>
      <c r="I19" s="47"/>
      <c r="J19" s="105"/>
      <c r="K19" s="105"/>
      <c r="L19" s="61">
        <f t="shared" si="1"/>
        <v>98.5</v>
      </c>
      <c r="M19" s="61">
        <f t="shared" si="2"/>
        <v>0</v>
      </c>
      <c r="N19" s="61">
        <f t="shared" si="3"/>
        <v>98.5</v>
      </c>
    </row>
    <row r="20">
      <c r="A20" s="32"/>
      <c r="B20" s="23" t="s">
        <v>187</v>
      </c>
      <c r="C20" s="23">
        <v>2009.0</v>
      </c>
      <c r="D20" s="23" t="s">
        <v>226</v>
      </c>
      <c r="E20" s="33" t="s">
        <v>40</v>
      </c>
      <c r="F20" s="28">
        <v>342.0</v>
      </c>
      <c r="G20" s="28"/>
      <c r="H20" s="28"/>
      <c r="I20" s="105"/>
      <c r="J20" s="105"/>
      <c r="K20" s="105"/>
      <c r="L20" s="61">
        <f t="shared" si="1"/>
        <v>85.5</v>
      </c>
      <c r="M20" s="61">
        <f t="shared" si="2"/>
        <v>0</v>
      </c>
      <c r="N20" s="61">
        <f t="shared" si="3"/>
        <v>85.5</v>
      </c>
    </row>
    <row r="21">
      <c r="A21" s="32"/>
      <c r="B21" s="108"/>
      <c r="C21" s="108"/>
      <c r="D21" s="108"/>
      <c r="E21" s="127"/>
      <c r="F21" s="28"/>
      <c r="G21" s="28"/>
      <c r="H21" s="28"/>
      <c r="I21" s="112"/>
      <c r="J21" s="114"/>
      <c r="K21" s="114"/>
      <c r="L21" s="61">
        <f t="shared" si="1"/>
        <v>0</v>
      </c>
      <c r="M21" s="61">
        <f t="shared" si="2"/>
        <v>0</v>
      </c>
      <c r="N21" s="61">
        <f t="shared" si="3"/>
        <v>0</v>
      </c>
    </row>
    <row r="22">
      <c r="A22" s="61"/>
      <c r="B22" s="23"/>
      <c r="C22" s="23"/>
      <c r="D22" s="23"/>
      <c r="E22" s="33"/>
      <c r="F22" s="28"/>
      <c r="G22" s="28"/>
      <c r="H22" s="28"/>
      <c r="I22" s="101"/>
      <c r="J22" s="105"/>
      <c r="K22" s="105"/>
      <c r="L22" s="61">
        <f t="shared" si="1"/>
        <v>0</v>
      </c>
      <c r="M22" s="61">
        <f t="shared" si="2"/>
        <v>0</v>
      </c>
      <c r="N22" s="61">
        <f t="shared" si="3"/>
        <v>0</v>
      </c>
    </row>
    <row r="23">
      <c r="A23" s="61"/>
      <c r="B23" s="23"/>
      <c r="C23" s="23"/>
      <c r="D23" s="23"/>
      <c r="E23" s="33"/>
      <c r="F23" s="28"/>
      <c r="G23" s="28"/>
      <c r="H23" s="28"/>
      <c r="I23" s="101"/>
      <c r="J23" s="105"/>
      <c r="K23" s="105"/>
      <c r="L23" s="61">
        <f t="shared" si="1"/>
        <v>0</v>
      </c>
      <c r="M23" s="61">
        <f t="shared" si="2"/>
        <v>0</v>
      </c>
      <c r="N23" s="61">
        <f t="shared" si="3"/>
        <v>0</v>
      </c>
    </row>
    <row r="24">
      <c r="A24" s="32"/>
      <c r="B24" s="108"/>
      <c r="C24" s="108"/>
      <c r="D24" s="108"/>
      <c r="E24" s="127"/>
      <c r="F24" s="28"/>
      <c r="G24" s="28"/>
      <c r="H24" s="28"/>
      <c r="I24" s="114"/>
      <c r="J24" s="114"/>
      <c r="K24" s="114"/>
      <c r="L24" s="61">
        <f t="shared" si="1"/>
        <v>0</v>
      </c>
      <c r="M24" s="61">
        <f t="shared" si="2"/>
        <v>0</v>
      </c>
      <c r="N24" s="61">
        <f t="shared" si="3"/>
        <v>0</v>
      </c>
    </row>
    <row r="25">
      <c r="A25" s="61"/>
      <c r="B25" s="108"/>
      <c r="C25" s="108"/>
      <c r="D25" s="108"/>
      <c r="E25" s="127"/>
      <c r="F25" s="28"/>
      <c r="G25" s="28"/>
      <c r="H25" s="28"/>
      <c r="I25" s="112"/>
      <c r="J25" s="114"/>
      <c r="K25" s="114"/>
      <c r="L25" s="61">
        <f t="shared" si="1"/>
        <v>0</v>
      </c>
      <c r="M25" s="61">
        <f t="shared" si="2"/>
        <v>0</v>
      </c>
      <c r="N25" s="61">
        <f t="shared" si="3"/>
        <v>0</v>
      </c>
    </row>
    <row r="26">
      <c r="A26" s="32"/>
      <c r="B26" s="115"/>
      <c r="C26" s="115"/>
      <c r="D26" s="115"/>
      <c r="E26" s="128"/>
      <c r="F26" s="118"/>
      <c r="G26" s="118"/>
      <c r="H26" s="118"/>
      <c r="I26" s="119"/>
      <c r="J26" s="119"/>
      <c r="K26" s="119"/>
      <c r="L26" s="61">
        <f t="shared" si="1"/>
        <v>0</v>
      </c>
      <c r="M26" s="61">
        <f t="shared" si="2"/>
        <v>0</v>
      </c>
      <c r="N26" s="61">
        <f t="shared" si="3"/>
        <v>0</v>
      </c>
    </row>
    <row r="27">
      <c r="A27" s="32"/>
      <c r="B27" s="23"/>
      <c r="C27" s="23"/>
      <c r="D27" s="23"/>
      <c r="E27" s="33"/>
      <c r="F27" s="28"/>
      <c r="G27" s="28"/>
      <c r="H27" s="28"/>
      <c r="I27" s="101"/>
      <c r="J27" s="105"/>
      <c r="K27" s="105"/>
      <c r="L27" s="61">
        <f t="shared" si="1"/>
        <v>0</v>
      </c>
      <c r="M27" s="61">
        <f t="shared" si="2"/>
        <v>0</v>
      </c>
      <c r="N27" s="61">
        <f t="shared" si="3"/>
        <v>0</v>
      </c>
    </row>
    <row r="28">
      <c r="A28" s="61"/>
      <c r="B28" s="23"/>
      <c r="C28" s="23"/>
      <c r="D28" s="23"/>
      <c r="E28" s="33"/>
      <c r="F28" s="28"/>
      <c r="G28" s="28"/>
      <c r="H28" s="28"/>
      <c r="I28" s="101"/>
      <c r="J28" s="105"/>
      <c r="K28" s="105"/>
      <c r="L28" s="61">
        <f t="shared" si="1"/>
        <v>0</v>
      </c>
      <c r="M28" s="61">
        <f t="shared" si="2"/>
        <v>0</v>
      </c>
      <c r="N28" s="61">
        <f t="shared" si="3"/>
        <v>0</v>
      </c>
    </row>
    <row r="29">
      <c r="A29" s="61"/>
      <c r="B29" s="115"/>
      <c r="C29" s="115"/>
      <c r="D29" s="115"/>
      <c r="E29" s="128"/>
      <c r="F29" s="118"/>
      <c r="G29" s="120"/>
      <c r="H29" s="120"/>
      <c r="I29" s="119"/>
      <c r="J29" s="119"/>
      <c r="K29" s="119"/>
      <c r="L29" s="61">
        <f t="shared" si="1"/>
        <v>0</v>
      </c>
      <c r="M29" s="61">
        <f t="shared" si="2"/>
        <v>0</v>
      </c>
      <c r="N29" s="61">
        <f t="shared" si="3"/>
        <v>0</v>
      </c>
    </row>
    <row r="30">
      <c r="A30" s="32"/>
      <c r="B30" s="23"/>
      <c r="C30" s="23"/>
      <c r="D30" s="23"/>
      <c r="E30" s="33"/>
      <c r="F30" s="28"/>
      <c r="G30" s="28"/>
      <c r="H30" s="28"/>
      <c r="I30" s="47"/>
      <c r="J30" s="105"/>
      <c r="K30" s="105"/>
      <c r="L30" s="61">
        <f t="shared" si="1"/>
        <v>0</v>
      </c>
      <c r="M30" s="61">
        <f t="shared" si="2"/>
        <v>0</v>
      </c>
      <c r="N30" s="61">
        <f t="shared" si="3"/>
        <v>0</v>
      </c>
    </row>
    <row r="31">
      <c r="A31" s="61"/>
      <c r="B31" s="108"/>
      <c r="C31" s="108"/>
      <c r="D31" s="108"/>
      <c r="E31" s="127"/>
      <c r="F31" s="28"/>
      <c r="G31" s="28"/>
      <c r="H31" s="28"/>
      <c r="I31" s="114"/>
      <c r="J31" s="114"/>
      <c r="K31" s="114"/>
      <c r="L31" s="61">
        <f t="shared" si="1"/>
        <v>0</v>
      </c>
      <c r="M31" s="61">
        <f t="shared" si="2"/>
        <v>0</v>
      </c>
      <c r="N31" s="61">
        <f t="shared" si="3"/>
        <v>0</v>
      </c>
    </row>
    <row r="32">
      <c r="A32" s="61"/>
      <c r="B32" s="108"/>
      <c r="C32" s="108"/>
      <c r="D32" s="108"/>
      <c r="E32" s="127"/>
      <c r="F32" s="28"/>
      <c r="G32" s="28"/>
      <c r="H32" s="28"/>
      <c r="I32" s="114"/>
      <c r="J32" s="114"/>
      <c r="K32" s="114"/>
      <c r="L32" s="61">
        <f t="shared" si="1"/>
        <v>0</v>
      </c>
      <c r="M32" s="61">
        <f t="shared" si="2"/>
        <v>0</v>
      </c>
      <c r="N32" s="61">
        <f t="shared" si="3"/>
        <v>0</v>
      </c>
    </row>
    <row r="33">
      <c r="A33" s="32"/>
      <c r="B33" s="31"/>
      <c r="C33" s="31"/>
      <c r="D33" s="31"/>
      <c r="E33" s="42"/>
      <c r="F33" s="28"/>
      <c r="G33" s="28"/>
      <c r="H33" s="28"/>
      <c r="I33" s="112"/>
      <c r="J33" s="114"/>
      <c r="K33" s="114"/>
      <c r="L33" s="61">
        <f t="shared" si="1"/>
        <v>0</v>
      </c>
      <c r="M33" s="61">
        <f t="shared" si="2"/>
        <v>0</v>
      </c>
      <c r="N33" s="61">
        <f t="shared" si="3"/>
        <v>0</v>
      </c>
    </row>
    <row r="34">
      <c r="A34" s="32"/>
      <c r="B34" s="115"/>
      <c r="C34" s="115"/>
      <c r="D34" s="115"/>
      <c r="E34" s="128"/>
      <c r="F34" s="118"/>
      <c r="G34" s="120"/>
      <c r="H34" s="120"/>
      <c r="I34" s="119"/>
      <c r="J34" s="119"/>
      <c r="K34" s="119"/>
      <c r="L34" s="61">
        <f t="shared" si="1"/>
        <v>0</v>
      </c>
      <c r="M34" s="61">
        <f t="shared" si="2"/>
        <v>0</v>
      </c>
      <c r="N34" s="61">
        <f t="shared" si="3"/>
        <v>0</v>
      </c>
    </row>
    <row r="35">
      <c r="A35" s="61"/>
      <c r="B35" s="108"/>
      <c r="C35" s="108"/>
      <c r="D35" s="108"/>
      <c r="E35" s="127"/>
      <c r="F35" s="28"/>
      <c r="G35" s="28"/>
      <c r="H35" s="28"/>
      <c r="I35" s="114"/>
      <c r="J35" s="114"/>
      <c r="K35" s="114"/>
      <c r="L35" s="61">
        <f t="shared" si="1"/>
        <v>0</v>
      </c>
      <c r="M35" s="61">
        <f t="shared" si="2"/>
        <v>0</v>
      </c>
      <c r="N35" s="61">
        <f t="shared" si="3"/>
        <v>0</v>
      </c>
    </row>
    <row r="36">
      <c r="A36" s="32"/>
      <c r="B36" s="31"/>
      <c r="C36" s="31"/>
      <c r="D36" s="31"/>
      <c r="E36" s="42"/>
      <c r="F36" s="28"/>
      <c r="G36" s="28"/>
      <c r="H36" s="28"/>
      <c r="I36" s="112"/>
      <c r="J36" s="114"/>
      <c r="K36" s="114"/>
      <c r="L36" s="61">
        <f t="shared" si="1"/>
        <v>0</v>
      </c>
      <c r="M36" s="61">
        <f t="shared" si="2"/>
        <v>0</v>
      </c>
      <c r="N36" s="61">
        <f t="shared" si="3"/>
        <v>0</v>
      </c>
    </row>
    <row r="37">
      <c r="A37" s="61"/>
      <c r="B37" s="23"/>
      <c r="C37" s="23"/>
      <c r="D37" s="23"/>
      <c r="E37" s="33"/>
      <c r="F37" s="28"/>
      <c r="G37" s="28"/>
      <c r="H37" s="28"/>
      <c r="I37" s="105"/>
      <c r="J37" s="105"/>
      <c r="K37" s="105"/>
      <c r="L37" s="61">
        <f t="shared" si="1"/>
        <v>0</v>
      </c>
      <c r="M37" s="61">
        <f t="shared" si="2"/>
        <v>0</v>
      </c>
      <c r="N37" s="61">
        <f t="shared" si="3"/>
        <v>0</v>
      </c>
    </row>
    <row r="38">
      <c r="A38" s="61"/>
      <c r="B38" s="108"/>
      <c r="C38" s="121"/>
      <c r="D38" s="121"/>
      <c r="E38" s="129"/>
      <c r="F38" s="28"/>
      <c r="G38" s="28"/>
      <c r="H38" s="28"/>
      <c r="I38" s="114"/>
      <c r="J38" s="114"/>
      <c r="K38" s="114"/>
      <c r="L38" s="61">
        <f t="shared" si="1"/>
        <v>0</v>
      </c>
      <c r="M38" s="61">
        <f t="shared" si="2"/>
        <v>0</v>
      </c>
      <c r="N38" s="61">
        <f t="shared" si="3"/>
        <v>0</v>
      </c>
    </row>
    <row r="39">
      <c r="A39" s="61"/>
      <c r="B39" s="115"/>
      <c r="C39" s="115"/>
      <c r="D39" s="115"/>
      <c r="E39" s="128"/>
      <c r="F39" s="118"/>
      <c r="G39" s="120"/>
      <c r="H39" s="120"/>
      <c r="I39" s="119"/>
      <c r="J39" s="119"/>
      <c r="K39" s="119"/>
      <c r="L39" s="61">
        <f t="shared" si="1"/>
        <v>0</v>
      </c>
      <c r="M39" s="61">
        <f t="shared" si="2"/>
        <v>0</v>
      </c>
      <c r="N39" s="61">
        <f t="shared" si="3"/>
        <v>0</v>
      </c>
    </row>
    <row r="40">
      <c r="A40" s="32"/>
      <c r="B40" s="23"/>
      <c r="C40" s="23"/>
      <c r="D40" s="23"/>
      <c r="E40" s="33"/>
      <c r="F40" s="28"/>
      <c r="G40" s="28"/>
      <c r="H40" s="28"/>
      <c r="I40" s="105"/>
      <c r="J40" s="105"/>
      <c r="K40" s="105"/>
      <c r="L40" s="61">
        <f t="shared" si="1"/>
        <v>0</v>
      </c>
      <c r="M40" s="61">
        <f t="shared" si="2"/>
        <v>0</v>
      </c>
      <c r="N40" s="61">
        <f t="shared" si="3"/>
        <v>0</v>
      </c>
    </row>
    <row r="41">
      <c r="A41" s="32"/>
      <c r="B41" s="115"/>
      <c r="C41" s="115"/>
      <c r="D41" s="115"/>
      <c r="E41" s="128"/>
      <c r="F41" s="118"/>
      <c r="G41" s="120"/>
      <c r="H41" s="120"/>
      <c r="I41" s="119"/>
      <c r="J41" s="119"/>
      <c r="K41" s="119"/>
      <c r="L41" s="61">
        <f t="shared" si="1"/>
        <v>0</v>
      </c>
      <c r="M41" s="61">
        <f t="shared" si="2"/>
        <v>0</v>
      </c>
      <c r="N41" s="61">
        <f t="shared" si="3"/>
        <v>0</v>
      </c>
    </row>
    <row r="42">
      <c r="A42" s="61"/>
      <c r="B42" s="108"/>
      <c r="C42" s="108"/>
      <c r="D42" s="108"/>
      <c r="E42" s="127"/>
      <c r="F42" s="28"/>
      <c r="G42" s="28"/>
      <c r="H42" s="28"/>
      <c r="I42" s="114"/>
      <c r="J42" s="114"/>
      <c r="K42" s="114"/>
      <c r="L42" s="61">
        <f t="shared" si="1"/>
        <v>0</v>
      </c>
      <c r="M42" s="61">
        <f t="shared" si="2"/>
        <v>0</v>
      </c>
      <c r="N42" s="61">
        <f t="shared" si="3"/>
        <v>0</v>
      </c>
    </row>
    <row r="43">
      <c r="A43" s="32"/>
      <c r="B43" s="31"/>
      <c r="C43" s="31"/>
      <c r="D43" s="31"/>
      <c r="E43" s="42"/>
      <c r="F43" s="28"/>
      <c r="G43" s="28"/>
      <c r="H43" s="28"/>
      <c r="I43" s="112"/>
      <c r="J43" s="114"/>
      <c r="K43" s="114"/>
      <c r="L43" s="61">
        <f t="shared" si="1"/>
        <v>0</v>
      </c>
      <c r="M43" s="61">
        <f t="shared" si="2"/>
        <v>0</v>
      </c>
      <c r="N43" s="61">
        <f t="shared" si="3"/>
        <v>0</v>
      </c>
    </row>
    <row r="44">
      <c r="A44" s="61"/>
      <c r="B44" s="23"/>
      <c r="C44" s="23"/>
      <c r="D44" s="23"/>
      <c r="E44" s="33"/>
      <c r="F44" s="28"/>
      <c r="G44" s="28"/>
      <c r="H44" s="28"/>
      <c r="I44" s="105"/>
      <c r="J44" s="105"/>
      <c r="K44" s="105"/>
      <c r="L44" s="61">
        <f t="shared" si="1"/>
        <v>0</v>
      </c>
      <c r="M44" s="61">
        <f t="shared" si="2"/>
        <v>0</v>
      </c>
      <c r="N44" s="61">
        <f t="shared" si="3"/>
        <v>0</v>
      </c>
    </row>
    <row r="45">
      <c r="A45" s="32"/>
      <c r="B45" s="108"/>
      <c r="C45" s="108"/>
      <c r="D45" s="108"/>
      <c r="E45" s="127"/>
      <c r="F45" s="28"/>
      <c r="G45" s="28"/>
      <c r="H45" s="28"/>
      <c r="I45" s="112"/>
      <c r="J45" s="114"/>
      <c r="K45" s="114"/>
      <c r="L45" s="61">
        <f t="shared" si="1"/>
        <v>0</v>
      </c>
      <c r="M45" s="61">
        <f t="shared" si="2"/>
        <v>0</v>
      </c>
      <c r="N45" s="61">
        <f t="shared" si="3"/>
        <v>0</v>
      </c>
    </row>
    <row r="46">
      <c r="A46" s="61"/>
      <c r="B46" s="23"/>
      <c r="C46" s="23"/>
      <c r="D46" s="23"/>
      <c r="E46" s="33"/>
      <c r="F46" s="28"/>
      <c r="G46" s="28"/>
      <c r="H46" s="28"/>
      <c r="I46" s="105"/>
      <c r="J46" s="105"/>
      <c r="K46" s="105"/>
      <c r="L46" s="61">
        <f t="shared" si="1"/>
        <v>0</v>
      </c>
      <c r="M46" s="61">
        <f t="shared" si="2"/>
        <v>0</v>
      </c>
      <c r="N46" s="61">
        <f t="shared" si="3"/>
        <v>0</v>
      </c>
    </row>
    <row r="47">
      <c r="A47" s="32"/>
      <c r="B47" s="31"/>
      <c r="C47" s="31"/>
      <c r="D47" s="31"/>
      <c r="E47" s="42"/>
      <c r="F47" s="28"/>
      <c r="G47" s="28"/>
      <c r="H47" s="28"/>
      <c r="I47" s="112"/>
      <c r="J47" s="114"/>
      <c r="K47" s="114"/>
      <c r="L47" s="61">
        <f t="shared" si="1"/>
        <v>0</v>
      </c>
      <c r="M47" s="61">
        <f t="shared" si="2"/>
        <v>0</v>
      </c>
      <c r="N47" s="61">
        <f t="shared" si="3"/>
        <v>0</v>
      </c>
    </row>
    <row r="48">
      <c r="E48" s="124"/>
    </row>
    <row r="49">
      <c r="E49" s="124"/>
    </row>
    <row r="50">
      <c r="E50" s="124"/>
    </row>
    <row r="51">
      <c r="E51" s="124"/>
    </row>
    <row r="52">
      <c r="E52" s="124"/>
    </row>
    <row r="53">
      <c r="E53" s="124"/>
    </row>
    <row r="54">
      <c r="E54" s="124"/>
    </row>
    <row r="55">
      <c r="E55" s="124"/>
    </row>
    <row r="56">
      <c r="E56" s="124"/>
    </row>
    <row r="57">
      <c r="E57" s="124"/>
    </row>
    <row r="58">
      <c r="E58" s="124"/>
    </row>
    <row r="59">
      <c r="E59" s="124"/>
    </row>
    <row r="60">
      <c r="E60" s="124"/>
    </row>
    <row r="61">
      <c r="E61" s="124"/>
    </row>
    <row r="62">
      <c r="E62" s="124"/>
    </row>
    <row r="63">
      <c r="E63" s="124"/>
    </row>
    <row r="64">
      <c r="E64" s="124"/>
    </row>
    <row r="65">
      <c r="E65" s="124"/>
    </row>
    <row r="66">
      <c r="E66" s="124"/>
    </row>
    <row r="67">
      <c r="E67" s="124"/>
    </row>
    <row r="68">
      <c r="E68" s="124"/>
    </row>
    <row r="69">
      <c r="E69" s="124"/>
    </row>
    <row r="70">
      <c r="E70" s="124"/>
    </row>
    <row r="71">
      <c r="E71" s="124"/>
    </row>
    <row r="72">
      <c r="E72" s="124"/>
    </row>
    <row r="73">
      <c r="E73" s="124"/>
    </row>
    <row r="74">
      <c r="E74" s="124"/>
    </row>
    <row r="75">
      <c r="E75" s="124"/>
    </row>
    <row r="76">
      <c r="E76" s="124"/>
    </row>
    <row r="77">
      <c r="E77" s="124"/>
    </row>
    <row r="78">
      <c r="E78" s="124"/>
    </row>
    <row r="79">
      <c r="E79" s="124"/>
    </row>
    <row r="80">
      <c r="E80" s="124"/>
    </row>
    <row r="81">
      <c r="E81" s="124"/>
    </row>
    <row r="82">
      <c r="E82" s="124"/>
    </row>
    <row r="83">
      <c r="E83" s="124"/>
    </row>
    <row r="84">
      <c r="E84" s="124"/>
    </row>
    <row r="85">
      <c r="E85" s="124"/>
    </row>
    <row r="86">
      <c r="E86" s="124"/>
    </row>
    <row r="87">
      <c r="E87" s="124"/>
    </row>
    <row r="88">
      <c r="E88" s="124"/>
    </row>
    <row r="89">
      <c r="E89" s="124"/>
    </row>
    <row r="90">
      <c r="E90" s="124"/>
    </row>
    <row r="91">
      <c r="E91" s="124"/>
    </row>
    <row r="92">
      <c r="E92" s="124"/>
    </row>
    <row r="93">
      <c r="E93" s="124"/>
    </row>
    <row r="94">
      <c r="E94" s="124"/>
    </row>
    <row r="95">
      <c r="E95" s="124"/>
    </row>
    <row r="96">
      <c r="E96" s="124"/>
    </row>
    <row r="97">
      <c r="E97" s="124"/>
    </row>
    <row r="98">
      <c r="E98" s="124"/>
    </row>
    <row r="99">
      <c r="E99" s="124"/>
    </row>
    <row r="100">
      <c r="E100" s="124"/>
    </row>
    <row r="101">
      <c r="E101" s="124"/>
    </row>
    <row r="102">
      <c r="E102" s="124"/>
    </row>
    <row r="103">
      <c r="E103" s="124"/>
    </row>
    <row r="104">
      <c r="E104" s="124"/>
    </row>
    <row r="105">
      <c r="E105" s="124"/>
    </row>
    <row r="106">
      <c r="E106" s="124"/>
    </row>
    <row r="107">
      <c r="E107" s="124"/>
    </row>
    <row r="108">
      <c r="E108" s="124"/>
    </row>
    <row r="109">
      <c r="E109" s="124"/>
    </row>
    <row r="110">
      <c r="E110" s="124"/>
    </row>
    <row r="111">
      <c r="E111" s="124"/>
    </row>
    <row r="112">
      <c r="E112" s="124"/>
    </row>
    <row r="113">
      <c r="E113" s="124"/>
    </row>
    <row r="114">
      <c r="E114" s="124"/>
    </row>
    <row r="115">
      <c r="E115" s="124"/>
    </row>
    <row r="116">
      <c r="E116" s="124"/>
    </row>
    <row r="117">
      <c r="E117" s="124"/>
    </row>
    <row r="118">
      <c r="E118" s="124"/>
    </row>
    <row r="119">
      <c r="E119" s="124"/>
    </row>
    <row r="120">
      <c r="E120" s="124"/>
    </row>
    <row r="121">
      <c r="E121" s="124"/>
    </row>
    <row r="122">
      <c r="E122" s="124"/>
    </row>
    <row r="123">
      <c r="E123" s="124"/>
    </row>
    <row r="124">
      <c r="E124" s="124"/>
    </row>
    <row r="125">
      <c r="E125" s="124"/>
    </row>
    <row r="126">
      <c r="E126" s="124"/>
    </row>
    <row r="127">
      <c r="E127" s="124"/>
    </row>
    <row r="128">
      <c r="E128" s="124"/>
    </row>
    <row r="129">
      <c r="E129" s="124"/>
    </row>
    <row r="130">
      <c r="E130" s="124"/>
    </row>
    <row r="131">
      <c r="E131" s="124"/>
    </row>
    <row r="132">
      <c r="E132" s="124"/>
    </row>
    <row r="133">
      <c r="E133" s="124"/>
    </row>
    <row r="134">
      <c r="E134" s="124"/>
    </row>
    <row r="135">
      <c r="E135" s="124"/>
    </row>
    <row r="136">
      <c r="E136" s="124"/>
    </row>
    <row r="137">
      <c r="E137" s="124"/>
    </row>
    <row r="138">
      <c r="E138" s="124"/>
    </row>
    <row r="139">
      <c r="E139" s="124"/>
    </row>
    <row r="140">
      <c r="E140" s="124"/>
    </row>
    <row r="141">
      <c r="E141" s="124"/>
    </row>
    <row r="142">
      <c r="E142" s="124"/>
    </row>
    <row r="143">
      <c r="E143" s="124"/>
    </row>
    <row r="144">
      <c r="E144" s="124"/>
    </row>
    <row r="145">
      <c r="E145" s="124"/>
    </row>
    <row r="146">
      <c r="E146" s="124"/>
    </row>
    <row r="147">
      <c r="E147" s="124"/>
    </row>
    <row r="148">
      <c r="E148" s="124"/>
    </row>
    <row r="149">
      <c r="E149" s="124"/>
    </row>
    <row r="150">
      <c r="E150" s="124"/>
    </row>
    <row r="151">
      <c r="E151" s="124"/>
    </row>
    <row r="152">
      <c r="E152" s="124"/>
    </row>
    <row r="153">
      <c r="E153" s="124"/>
    </row>
    <row r="154">
      <c r="E154" s="124"/>
    </row>
    <row r="155">
      <c r="E155" s="124"/>
    </row>
    <row r="156">
      <c r="E156" s="124"/>
    </row>
    <row r="157">
      <c r="E157" s="124"/>
    </row>
    <row r="158">
      <c r="E158" s="124"/>
    </row>
    <row r="159">
      <c r="E159" s="124"/>
    </row>
    <row r="160">
      <c r="E160" s="124"/>
    </row>
    <row r="161">
      <c r="E161" s="124"/>
    </row>
    <row r="162">
      <c r="E162" s="124"/>
    </row>
    <row r="163">
      <c r="E163" s="124"/>
    </row>
    <row r="164">
      <c r="E164" s="124"/>
    </row>
    <row r="165">
      <c r="E165" s="124"/>
    </row>
    <row r="166">
      <c r="E166" s="124"/>
    </row>
    <row r="167">
      <c r="E167" s="124"/>
    </row>
    <row r="168">
      <c r="E168" s="124"/>
    </row>
    <row r="169">
      <c r="E169" s="124"/>
    </row>
    <row r="170">
      <c r="E170" s="124"/>
    </row>
    <row r="171">
      <c r="E171" s="124"/>
    </row>
    <row r="172">
      <c r="E172" s="124"/>
    </row>
    <row r="173">
      <c r="E173" s="124"/>
    </row>
    <row r="174">
      <c r="E174" s="124"/>
    </row>
    <row r="175">
      <c r="E175" s="124"/>
    </row>
    <row r="176">
      <c r="E176" s="124"/>
    </row>
    <row r="177">
      <c r="E177" s="124"/>
    </row>
    <row r="178">
      <c r="E178" s="124"/>
    </row>
    <row r="179">
      <c r="E179" s="124"/>
    </row>
    <row r="180">
      <c r="E180" s="124"/>
    </row>
    <row r="181">
      <c r="E181" s="124"/>
    </row>
    <row r="182">
      <c r="E182" s="124"/>
    </row>
    <row r="183">
      <c r="E183" s="124"/>
    </row>
    <row r="184">
      <c r="E184" s="124"/>
    </row>
    <row r="185">
      <c r="E185" s="124"/>
    </row>
    <row r="186">
      <c r="E186" s="124"/>
    </row>
    <row r="187">
      <c r="E187" s="124"/>
    </row>
    <row r="188">
      <c r="E188" s="124"/>
    </row>
    <row r="189">
      <c r="E189" s="124"/>
    </row>
    <row r="190">
      <c r="E190" s="124"/>
    </row>
    <row r="191">
      <c r="E191" s="124"/>
    </row>
    <row r="192">
      <c r="E192" s="124"/>
    </row>
    <row r="193">
      <c r="E193" s="124"/>
    </row>
    <row r="194">
      <c r="E194" s="124"/>
    </row>
    <row r="195">
      <c r="E195" s="124"/>
    </row>
    <row r="196">
      <c r="E196" s="124"/>
    </row>
    <row r="197">
      <c r="E197" s="124"/>
    </row>
    <row r="198">
      <c r="E198" s="124"/>
    </row>
    <row r="199">
      <c r="E199" s="124"/>
    </row>
    <row r="200">
      <c r="E200" s="124"/>
    </row>
    <row r="201">
      <c r="E201" s="124"/>
    </row>
    <row r="202">
      <c r="E202" s="124"/>
    </row>
    <row r="203">
      <c r="E203" s="124"/>
    </row>
    <row r="204">
      <c r="E204" s="124"/>
    </row>
    <row r="205">
      <c r="E205" s="124"/>
    </row>
    <row r="206">
      <c r="E206" s="124"/>
    </row>
    <row r="207">
      <c r="E207" s="124"/>
    </row>
    <row r="208">
      <c r="E208" s="124"/>
    </row>
    <row r="209">
      <c r="E209" s="124"/>
    </row>
    <row r="210">
      <c r="E210" s="124"/>
    </row>
    <row r="211">
      <c r="E211" s="124"/>
    </row>
    <row r="212">
      <c r="E212" s="124"/>
    </row>
    <row r="213">
      <c r="E213" s="124"/>
    </row>
    <row r="214">
      <c r="E214" s="124"/>
    </row>
    <row r="215">
      <c r="E215" s="124"/>
    </row>
    <row r="216">
      <c r="E216" s="124"/>
    </row>
    <row r="217">
      <c r="E217" s="124"/>
    </row>
    <row r="218">
      <c r="E218" s="124"/>
    </row>
    <row r="219">
      <c r="E219" s="124"/>
    </row>
    <row r="220">
      <c r="E220" s="124"/>
    </row>
    <row r="221">
      <c r="E221" s="124"/>
    </row>
    <row r="222">
      <c r="E222" s="124"/>
    </row>
    <row r="223">
      <c r="E223" s="124"/>
    </row>
    <row r="224">
      <c r="E224" s="124"/>
    </row>
    <row r="225">
      <c r="E225" s="124"/>
    </row>
    <row r="226">
      <c r="E226" s="124"/>
    </row>
    <row r="227">
      <c r="E227" s="124"/>
    </row>
    <row r="228">
      <c r="E228" s="124"/>
    </row>
    <row r="229">
      <c r="E229" s="124"/>
    </row>
    <row r="230">
      <c r="E230" s="124"/>
    </row>
    <row r="231">
      <c r="E231" s="124"/>
    </row>
    <row r="232">
      <c r="E232" s="124"/>
    </row>
    <row r="233">
      <c r="E233" s="124"/>
    </row>
    <row r="234">
      <c r="E234" s="124"/>
    </row>
    <row r="235">
      <c r="E235" s="124"/>
    </row>
    <row r="236">
      <c r="E236" s="124"/>
    </row>
    <row r="237">
      <c r="E237" s="124"/>
    </row>
    <row r="238">
      <c r="E238" s="124"/>
    </row>
    <row r="239">
      <c r="E239" s="124"/>
    </row>
    <row r="240">
      <c r="E240" s="124"/>
    </row>
    <row r="241">
      <c r="E241" s="124"/>
    </row>
    <row r="242">
      <c r="E242" s="124"/>
    </row>
    <row r="243">
      <c r="E243" s="124"/>
    </row>
    <row r="244">
      <c r="E244" s="124"/>
    </row>
    <row r="245">
      <c r="E245" s="124"/>
    </row>
    <row r="246">
      <c r="E246" s="124"/>
    </row>
    <row r="247">
      <c r="E247" s="124"/>
    </row>
    <row r="248">
      <c r="E248" s="124"/>
    </row>
    <row r="249">
      <c r="E249" s="124"/>
    </row>
    <row r="250">
      <c r="E250" s="124"/>
    </row>
    <row r="251">
      <c r="E251" s="124"/>
    </row>
    <row r="252">
      <c r="E252" s="124"/>
    </row>
    <row r="253">
      <c r="E253" s="124"/>
    </row>
    <row r="254">
      <c r="E254" s="124"/>
    </row>
    <row r="255">
      <c r="E255" s="124"/>
    </row>
    <row r="256">
      <c r="E256" s="124"/>
    </row>
    <row r="257">
      <c r="E257" s="124"/>
    </row>
    <row r="258">
      <c r="E258" s="124"/>
    </row>
    <row r="259">
      <c r="E259" s="124"/>
    </row>
    <row r="260">
      <c r="E260" s="124"/>
    </row>
    <row r="261">
      <c r="E261" s="124"/>
    </row>
    <row r="262">
      <c r="E262" s="124"/>
    </row>
    <row r="263">
      <c r="E263" s="124"/>
    </row>
    <row r="264">
      <c r="E264" s="124"/>
    </row>
    <row r="265">
      <c r="E265" s="124"/>
    </row>
    <row r="266">
      <c r="E266" s="124"/>
    </row>
    <row r="267">
      <c r="E267" s="124"/>
    </row>
    <row r="268">
      <c r="E268" s="124"/>
    </row>
    <row r="269">
      <c r="E269" s="124"/>
    </row>
    <row r="270">
      <c r="E270" s="124"/>
    </row>
    <row r="271">
      <c r="E271" s="124"/>
    </row>
    <row r="272">
      <c r="E272" s="124"/>
    </row>
    <row r="273">
      <c r="E273" s="124"/>
    </row>
    <row r="274">
      <c r="E274" s="124"/>
    </row>
    <row r="275">
      <c r="E275" s="124"/>
    </row>
    <row r="276">
      <c r="E276" s="124"/>
    </row>
    <row r="277">
      <c r="E277" s="124"/>
    </row>
    <row r="278">
      <c r="E278" s="124"/>
    </row>
    <row r="279">
      <c r="E279" s="124"/>
    </row>
    <row r="280">
      <c r="E280" s="124"/>
    </row>
    <row r="281">
      <c r="E281" s="124"/>
    </row>
    <row r="282">
      <c r="E282" s="124"/>
    </row>
    <row r="283">
      <c r="E283" s="124"/>
    </row>
    <row r="284">
      <c r="E284" s="124"/>
    </row>
    <row r="285">
      <c r="E285" s="124"/>
    </row>
    <row r="286">
      <c r="E286" s="124"/>
    </row>
    <row r="287">
      <c r="E287" s="124"/>
    </row>
    <row r="288">
      <c r="E288" s="124"/>
    </row>
    <row r="289">
      <c r="E289" s="124"/>
    </row>
    <row r="290">
      <c r="E290" s="124"/>
    </row>
    <row r="291">
      <c r="E291" s="124"/>
    </row>
    <row r="292">
      <c r="E292" s="124"/>
    </row>
    <row r="293">
      <c r="E293" s="124"/>
    </row>
    <row r="294">
      <c r="E294" s="124"/>
    </row>
    <row r="295">
      <c r="E295" s="124"/>
    </row>
    <row r="296">
      <c r="E296" s="124"/>
    </row>
    <row r="297">
      <c r="E297" s="124"/>
    </row>
    <row r="298">
      <c r="E298" s="124"/>
    </row>
    <row r="299">
      <c r="E299" s="124"/>
    </row>
    <row r="300">
      <c r="E300" s="124"/>
    </row>
    <row r="301">
      <c r="E301" s="124"/>
    </row>
    <row r="302">
      <c r="E302" s="124"/>
    </row>
    <row r="303">
      <c r="E303" s="124"/>
    </row>
    <row r="304">
      <c r="E304" s="124"/>
    </row>
    <row r="305">
      <c r="E305" s="124"/>
    </row>
    <row r="306">
      <c r="E306" s="124"/>
    </row>
    <row r="307">
      <c r="E307" s="124"/>
    </row>
    <row r="308">
      <c r="E308" s="124"/>
    </row>
    <row r="309">
      <c r="E309" s="124"/>
    </row>
    <row r="310">
      <c r="E310" s="124"/>
    </row>
    <row r="311">
      <c r="E311" s="124"/>
    </row>
    <row r="312">
      <c r="E312" s="124"/>
    </row>
    <row r="313">
      <c r="E313" s="124"/>
    </row>
    <row r="314">
      <c r="E314" s="124"/>
    </row>
    <row r="315">
      <c r="E315" s="124"/>
    </row>
    <row r="316">
      <c r="E316" s="124"/>
    </row>
    <row r="317">
      <c r="E317" s="124"/>
    </row>
    <row r="318">
      <c r="E318" s="124"/>
    </row>
    <row r="319">
      <c r="E319" s="124"/>
    </row>
    <row r="320">
      <c r="E320" s="124"/>
    </row>
    <row r="321">
      <c r="E321" s="124"/>
    </row>
    <row r="322">
      <c r="E322" s="124"/>
    </row>
    <row r="323">
      <c r="E323" s="124"/>
    </row>
    <row r="324">
      <c r="E324" s="124"/>
    </row>
    <row r="325">
      <c r="E325" s="124"/>
    </row>
    <row r="326">
      <c r="E326" s="124"/>
    </row>
    <row r="327">
      <c r="E327" s="124"/>
    </row>
    <row r="328">
      <c r="E328" s="124"/>
    </row>
    <row r="329">
      <c r="E329" s="124"/>
    </row>
    <row r="330">
      <c r="E330" s="124"/>
    </row>
    <row r="331">
      <c r="E331" s="124"/>
    </row>
    <row r="332">
      <c r="E332" s="124"/>
    </row>
    <row r="333">
      <c r="E333" s="124"/>
    </row>
    <row r="334">
      <c r="E334" s="124"/>
    </row>
    <row r="335">
      <c r="E335" s="124"/>
    </row>
    <row r="336">
      <c r="E336" s="124"/>
    </row>
    <row r="337">
      <c r="E337" s="124"/>
    </row>
    <row r="338">
      <c r="E338" s="124"/>
    </row>
    <row r="339">
      <c r="E339" s="124"/>
    </row>
    <row r="340">
      <c r="E340" s="124"/>
    </row>
    <row r="341">
      <c r="E341" s="124"/>
    </row>
    <row r="342">
      <c r="E342" s="124"/>
    </row>
    <row r="343">
      <c r="E343" s="124"/>
    </row>
    <row r="344">
      <c r="E344" s="124"/>
    </row>
    <row r="345">
      <c r="E345" s="124"/>
    </row>
    <row r="346">
      <c r="E346" s="124"/>
    </row>
    <row r="347">
      <c r="E347" s="124"/>
    </row>
    <row r="348">
      <c r="E348" s="124"/>
    </row>
    <row r="349">
      <c r="E349" s="124"/>
    </row>
    <row r="350">
      <c r="E350" s="124"/>
    </row>
    <row r="351">
      <c r="E351" s="124"/>
    </row>
    <row r="352">
      <c r="E352" s="124"/>
    </row>
    <row r="353">
      <c r="E353" s="124"/>
    </row>
    <row r="354">
      <c r="E354" s="124"/>
    </row>
    <row r="355">
      <c r="E355" s="124"/>
    </row>
    <row r="356">
      <c r="E356" s="124"/>
    </row>
    <row r="357">
      <c r="E357" s="124"/>
    </row>
    <row r="358">
      <c r="E358" s="124"/>
    </row>
    <row r="359">
      <c r="E359" s="124"/>
    </row>
    <row r="360">
      <c r="E360" s="124"/>
    </row>
    <row r="361">
      <c r="E361" s="124"/>
    </row>
    <row r="362">
      <c r="E362" s="124"/>
    </row>
    <row r="363">
      <c r="E363" s="124"/>
    </row>
    <row r="364">
      <c r="E364" s="124"/>
    </row>
    <row r="365">
      <c r="E365" s="124"/>
    </row>
    <row r="366">
      <c r="E366" s="124"/>
    </row>
    <row r="367">
      <c r="E367" s="124"/>
    </row>
    <row r="368">
      <c r="E368" s="124"/>
    </row>
    <row r="369">
      <c r="E369" s="124"/>
    </row>
    <row r="370">
      <c r="E370" s="124"/>
    </row>
    <row r="371">
      <c r="E371" s="124"/>
    </row>
    <row r="372">
      <c r="E372" s="124"/>
    </row>
    <row r="373">
      <c r="E373" s="124"/>
    </row>
    <row r="374">
      <c r="E374" s="124"/>
    </row>
    <row r="375">
      <c r="E375" s="124"/>
    </row>
    <row r="376">
      <c r="E376" s="124"/>
    </row>
    <row r="377">
      <c r="E377" s="124"/>
    </row>
    <row r="378">
      <c r="E378" s="124"/>
    </row>
    <row r="379">
      <c r="E379" s="124"/>
    </row>
    <row r="380">
      <c r="E380" s="124"/>
    </row>
    <row r="381">
      <c r="E381" s="124"/>
    </row>
    <row r="382">
      <c r="E382" s="124"/>
    </row>
    <row r="383">
      <c r="E383" s="124"/>
    </row>
    <row r="384">
      <c r="E384" s="124"/>
    </row>
    <row r="385">
      <c r="E385" s="124"/>
    </row>
    <row r="386">
      <c r="E386" s="124"/>
    </row>
    <row r="387">
      <c r="E387" s="124"/>
    </row>
    <row r="388">
      <c r="E388" s="124"/>
    </row>
    <row r="389">
      <c r="E389" s="124"/>
    </row>
    <row r="390">
      <c r="E390" s="124"/>
    </row>
    <row r="391">
      <c r="E391" s="124"/>
    </row>
    <row r="392">
      <c r="E392" s="124"/>
    </row>
    <row r="393">
      <c r="E393" s="124"/>
    </row>
    <row r="394">
      <c r="E394" s="124"/>
    </row>
    <row r="395">
      <c r="E395" s="124"/>
    </row>
    <row r="396">
      <c r="E396" s="124"/>
    </row>
    <row r="397">
      <c r="E397" s="124"/>
    </row>
    <row r="398">
      <c r="E398" s="124"/>
    </row>
    <row r="399">
      <c r="E399" s="124"/>
    </row>
    <row r="400">
      <c r="E400" s="124"/>
    </row>
    <row r="401">
      <c r="E401" s="124"/>
    </row>
    <row r="402">
      <c r="E402" s="124"/>
    </row>
    <row r="403">
      <c r="E403" s="124"/>
    </row>
    <row r="404">
      <c r="E404" s="124"/>
    </row>
    <row r="405">
      <c r="E405" s="124"/>
    </row>
    <row r="406">
      <c r="E406" s="124"/>
    </row>
    <row r="407">
      <c r="E407" s="124"/>
    </row>
    <row r="408">
      <c r="E408" s="124"/>
    </row>
    <row r="409">
      <c r="E409" s="124"/>
    </row>
    <row r="410">
      <c r="E410" s="124"/>
    </row>
    <row r="411">
      <c r="E411" s="124"/>
    </row>
    <row r="412">
      <c r="E412" s="124"/>
    </row>
    <row r="413">
      <c r="E413" s="124"/>
    </row>
    <row r="414">
      <c r="E414" s="124"/>
    </row>
    <row r="415">
      <c r="E415" s="124"/>
    </row>
    <row r="416">
      <c r="E416" s="124"/>
    </row>
    <row r="417">
      <c r="E417" s="124"/>
    </row>
    <row r="418">
      <c r="E418" s="124"/>
    </row>
    <row r="419">
      <c r="E419" s="124"/>
    </row>
    <row r="420">
      <c r="E420" s="124"/>
    </row>
    <row r="421">
      <c r="E421" s="124"/>
    </row>
    <row r="422">
      <c r="E422" s="124"/>
    </row>
    <row r="423">
      <c r="E423" s="124"/>
    </row>
    <row r="424">
      <c r="E424" s="124"/>
    </row>
    <row r="425">
      <c r="E425" s="124"/>
    </row>
    <row r="426">
      <c r="E426" s="124"/>
    </row>
    <row r="427">
      <c r="E427" s="124"/>
    </row>
    <row r="428">
      <c r="E428" s="124"/>
    </row>
    <row r="429">
      <c r="E429" s="124"/>
    </row>
    <row r="430">
      <c r="E430" s="124"/>
    </row>
    <row r="431">
      <c r="E431" s="124"/>
    </row>
    <row r="432">
      <c r="E432" s="124"/>
    </row>
    <row r="433">
      <c r="E433" s="124"/>
    </row>
    <row r="434">
      <c r="E434" s="124"/>
    </row>
    <row r="435">
      <c r="E435" s="124"/>
    </row>
    <row r="436">
      <c r="E436" s="124"/>
    </row>
    <row r="437">
      <c r="E437" s="124"/>
    </row>
    <row r="438">
      <c r="E438" s="124"/>
    </row>
    <row r="439">
      <c r="E439" s="124"/>
    </row>
    <row r="440">
      <c r="E440" s="124"/>
    </row>
    <row r="441">
      <c r="E441" s="124"/>
    </row>
    <row r="442">
      <c r="E442" s="124"/>
    </row>
    <row r="443">
      <c r="E443" s="124"/>
    </row>
    <row r="444">
      <c r="E444" s="124"/>
    </row>
    <row r="445">
      <c r="E445" s="124"/>
    </row>
    <row r="446">
      <c r="E446" s="124"/>
    </row>
    <row r="447">
      <c r="E447" s="124"/>
    </row>
    <row r="448">
      <c r="E448" s="124"/>
    </row>
    <row r="449">
      <c r="E449" s="124"/>
    </row>
    <row r="450">
      <c r="E450" s="124"/>
    </row>
    <row r="451">
      <c r="E451" s="124"/>
    </row>
    <row r="452">
      <c r="E452" s="124"/>
    </row>
    <row r="453">
      <c r="E453" s="124"/>
    </row>
    <row r="454">
      <c r="E454" s="124"/>
    </row>
    <row r="455">
      <c r="E455" s="124"/>
    </row>
    <row r="456">
      <c r="E456" s="124"/>
    </row>
    <row r="457">
      <c r="E457" s="124"/>
    </row>
    <row r="458">
      <c r="E458" s="124"/>
    </row>
    <row r="459">
      <c r="E459" s="124"/>
    </row>
    <row r="460">
      <c r="E460" s="124"/>
    </row>
    <row r="461">
      <c r="E461" s="124"/>
    </row>
    <row r="462">
      <c r="E462" s="124"/>
    </row>
    <row r="463">
      <c r="E463" s="124"/>
    </row>
    <row r="464">
      <c r="E464" s="124"/>
    </row>
    <row r="465">
      <c r="E465" s="124"/>
    </row>
    <row r="466">
      <c r="E466" s="124"/>
    </row>
    <row r="467">
      <c r="E467" s="124"/>
    </row>
    <row r="468">
      <c r="E468" s="124"/>
    </row>
    <row r="469">
      <c r="E469" s="124"/>
    </row>
    <row r="470">
      <c r="E470" s="124"/>
    </row>
    <row r="471">
      <c r="E471" s="124"/>
    </row>
    <row r="472">
      <c r="E472" s="124"/>
    </row>
    <row r="473">
      <c r="E473" s="124"/>
    </row>
    <row r="474">
      <c r="E474" s="124"/>
    </row>
    <row r="475">
      <c r="E475" s="124"/>
    </row>
    <row r="476">
      <c r="E476" s="124"/>
    </row>
    <row r="477">
      <c r="E477" s="124"/>
    </row>
    <row r="478">
      <c r="E478" s="124"/>
    </row>
    <row r="479">
      <c r="E479" s="124"/>
    </row>
    <row r="480">
      <c r="E480" s="124"/>
    </row>
    <row r="481">
      <c r="E481" s="124"/>
    </row>
    <row r="482">
      <c r="E482" s="124"/>
    </row>
    <row r="483">
      <c r="E483" s="124"/>
    </row>
    <row r="484">
      <c r="E484" s="124"/>
    </row>
    <row r="485">
      <c r="E485" s="124"/>
    </row>
    <row r="486">
      <c r="E486" s="124"/>
    </row>
    <row r="487">
      <c r="E487" s="124"/>
    </row>
    <row r="488">
      <c r="E488" s="124"/>
    </row>
    <row r="489">
      <c r="E489" s="124"/>
    </row>
    <row r="490">
      <c r="E490" s="124"/>
    </row>
    <row r="491">
      <c r="E491" s="124"/>
    </row>
    <row r="492">
      <c r="E492" s="124"/>
    </row>
    <row r="493">
      <c r="E493" s="124"/>
    </row>
    <row r="494">
      <c r="E494" s="124"/>
    </row>
    <row r="495">
      <c r="E495" s="124"/>
    </row>
    <row r="496">
      <c r="E496" s="124"/>
    </row>
    <row r="497">
      <c r="E497" s="124"/>
    </row>
    <row r="498">
      <c r="E498" s="124"/>
    </row>
    <row r="499">
      <c r="E499" s="124"/>
    </row>
    <row r="500">
      <c r="E500" s="124"/>
    </row>
    <row r="501">
      <c r="E501" s="124"/>
    </row>
    <row r="502">
      <c r="E502" s="124"/>
    </row>
    <row r="503">
      <c r="E503" s="124"/>
    </row>
    <row r="504">
      <c r="E504" s="124"/>
    </row>
    <row r="505">
      <c r="E505" s="124"/>
    </row>
    <row r="506">
      <c r="E506" s="124"/>
    </row>
    <row r="507">
      <c r="E507" s="124"/>
    </row>
    <row r="508">
      <c r="E508" s="124"/>
    </row>
    <row r="509">
      <c r="E509" s="124"/>
    </row>
    <row r="510">
      <c r="E510" s="124"/>
    </row>
    <row r="511">
      <c r="E511" s="124"/>
    </row>
    <row r="512">
      <c r="E512" s="124"/>
    </row>
    <row r="513">
      <c r="E513" s="124"/>
    </row>
    <row r="514">
      <c r="E514" s="124"/>
    </row>
    <row r="515">
      <c r="E515" s="124"/>
    </row>
    <row r="516">
      <c r="E516" s="124"/>
    </row>
    <row r="517">
      <c r="E517" s="124"/>
    </row>
    <row r="518">
      <c r="E518" s="124"/>
    </row>
    <row r="519">
      <c r="E519" s="124"/>
    </row>
    <row r="520">
      <c r="E520" s="124"/>
    </row>
    <row r="521">
      <c r="E521" s="124"/>
    </row>
    <row r="522">
      <c r="E522" s="124"/>
    </row>
    <row r="523">
      <c r="E523" s="124"/>
    </row>
    <row r="524">
      <c r="E524" s="124"/>
    </row>
    <row r="525">
      <c r="E525" s="124"/>
    </row>
    <row r="526">
      <c r="E526" s="124"/>
    </row>
    <row r="527">
      <c r="E527" s="124"/>
    </row>
    <row r="528">
      <c r="E528" s="124"/>
    </row>
    <row r="529">
      <c r="E529" s="124"/>
    </row>
    <row r="530">
      <c r="E530" s="124"/>
    </row>
    <row r="531">
      <c r="E531" s="124"/>
    </row>
    <row r="532">
      <c r="E532" s="124"/>
    </row>
    <row r="533">
      <c r="E533" s="124"/>
    </row>
    <row r="534">
      <c r="E534" s="124"/>
    </row>
    <row r="535">
      <c r="E535" s="124"/>
    </row>
    <row r="536">
      <c r="E536" s="124"/>
    </row>
    <row r="537">
      <c r="E537" s="124"/>
    </row>
    <row r="538">
      <c r="E538" s="124"/>
    </row>
    <row r="539">
      <c r="E539" s="124"/>
    </row>
    <row r="540">
      <c r="E540" s="124"/>
    </row>
    <row r="541">
      <c r="E541" s="124"/>
    </row>
    <row r="542">
      <c r="E542" s="124"/>
    </row>
    <row r="543">
      <c r="E543" s="124"/>
    </row>
    <row r="544">
      <c r="E544" s="124"/>
    </row>
    <row r="545">
      <c r="E545" s="124"/>
    </row>
    <row r="546">
      <c r="E546" s="124"/>
    </row>
    <row r="547">
      <c r="E547" s="124"/>
    </row>
    <row r="548">
      <c r="E548" s="124"/>
    </row>
    <row r="549">
      <c r="E549" s="124"/>
    </row>
    <row r="550">
      <c r="E550" s="124"/>
    </row>
    <row r="551">
      <c r="E551" s="124"/>
    </row>
    <row r="552">
      <c r="E552" s="124"/>
    </row>
    <row r="553">
      <c r="E553" s="124"/>
    </row>
    <row r="554">
      <c r="E554" s="124"/>
    </row>
    <row r="555">
      <c r="E555" s="124"/>
    </row>
    <row r="556">
      <c r="E556" s="124"/>
    </row>
    <row r="557">
      <c r="E557" s="124"/>
    </row>
    <row r="558">
      <c r="E558" s="124"/>
    </row>
    <row r="559">
      <c r="E559" s="124"/>
    </row>
    <row r="560">
      <c r="E560" s="124"/>
    </row>
    <row r="561">
      <c r="E561" s="124"/>
    </row>
    <row r="562">
      <c r="E562" s="124"/>
    </row>
    <row r="563">
      <c r="E563" s="124"/>
    </row>
    <row r="564">
      <c r="E564" s="124"/>
    </row>
    <row r="565">
      <c r="E565" s="124"/>
    </row>
    <row r="566">
      <c r="E566" s="124"/>
    </row>
    <row r="567">
      <c r="E567" s="124"/>
    </row>
    <row r="568">
      <c r="E568" s="124"/>
    </row>
    <row r="569">
      <c r="E569" s="124"/>
    </row>
    <row r="570">
      <c r="E570" s="124"/>
    </row>
    <row r="571">
      <c r="E571" s="124"/>
    </row>
    <row r="572">
      <c r="E572" s="124"/>
    </row>
    <row r="573">
      <c r="E573" s="124"/>
    </row>
    <row r="574">
      <c r="E574" s="124"/>
    </row>
    <row r="575">
      <c r="E575" s="124"/>
    </row>
    <row r="576">
      <c r="E576" s="124"/>
    </row>
    <row r="577">
      <c r="E577" s="124"/>
    </row>
    <row r="578">
      <c r="E578" s="124"/>
    </row>
    <row r="579">
      <c r="E579" s="124"/>
    </row>
    <row r="580">
      <c r="E580" s="124"/>
    </row>
    <row r="581">
      <c r="E581" s="124"/>
    </row>
    <row r="582">
      <c r="E582" s="124"/>
    </row>
    <row r="583">
      <c r="E583" s="124"/>
    </row>
    <row r="584">
      <c r="E584" s="124"/>
    </row>
    <row r="585">
      <c r="E585" s="124"/>
    </row>
    <row r="586">
      <c r="E586" s="124"/>
    </row>
    <row r="587">
      <c r="E587" s="124"/>
    </row>
    <row r="588">
      <c r="E588" s="124"/>
    </row>
    <row r="589">
      <c r="E589" s="124"/>
    </row>
    <row r="590">
      <c r="E590" s="124"/>
    </row>
    <row r="591">
      <c r="E591" s="124"/>
    </row>
    <row r="592">
      <c r="E592" s="124"/>
    </row>
    <row r="593">
      <c r="E593" s="124"/>
    </row>
    <row r="594">
      <c r="E594" s="124"/>
    </row>
    <row r="595">
      <c r="E595" s="124"/>
    </row>
    <row r="596">
      <c r="E596" s="124"/>
    </row>
    <row r="597">
      <c r="E597" s="124"/>
    </row>
    <row r="598">
      <c r="E598" s="124"/>
    </row>
    <row r="599">
      <c r="E599" s="124"/>
    </row>
    <row r="600">
      <c r="E600" s="124"/>
    </row>
    <row r="601">
      <c r="E601" s="124"/>
    </row>
    <row r="602">
      <c r="E602" s="124"/>
    </row>
    <row r="603">
      <c r="E603" s="124"/>
    </row>
    <row r="604">
      <c r="E604" s="124"/>
    </row>
    <row r="605">
      <c r="E605" s="124"/>
    </row>
    <row r="606">
      <c r="E606" s="124"/>
    </row>
    <row r="607">
      <c r="E607" s="124"/>
    </row>
    <row r="608">
      <c r="E608" s="124"/>
    </row>
    <row r="609">
      <c r="E609" s="124"/>
    </row>
    <row r="610">
      <c r="E610" s="124"/>
    </row>
    <row r="611">
      <c r="E611" s="124"/>
    </row>
    <row r="612">
      <c r="E612" s="124"/>
    </row>
    <row r="613">
      <c r="E613" s="124"/>
    </row>
    <row r="614">
      <c r="E614" s="124"/>
    </row>
    <row r="615">
      <c r="E615" s="124"/>
    </row>
    <row r="616">
      <c r="E616" s="124"/>
    </row>
    <row r="617">
      <c r="E617" s="124"/>
    </row>
    <row r="618">
      <c r="E618" s="124"/>
    </row>
    <row r="619">
      <c r="E619" s="124"/>
    </row>
    <row r="620">
      <c r="E620" s="124"/>
    </row>
    <row r="621">
      <c r="E621" s="124"/>
    </row>
    <row r="622">
      <c r="E622" s="124"/>
    </row>
    <row r="623">
      <c r="E623" s="124"/>
    </row>
    <row r="624">
      <c r="E624" s="124"/>
    </row>
    <row r="625">
      <c r="E625" s="124"/>
    </row>
    <row r="626">
      <c r="E626" s="124"/>
    </row>
    <row r="627">
      <c r="E627" s="124"/>
    </row>
    <row r="628">
      <c r="E628" s="124"/>
    </row>
    <row r="629">
      <c r="E629" s="124"/>
    </row>
    <row r="630">
      <c r="E630" s="124"/>
    </row>
    <row r="631">
      <c r="E631" s="124"/>
    </row>
    <row r="632">
      <c r="E632" s="124"/>
    </row>
    <row r="633">
      <c r="E633" s="124"/>
    </row>
    <row r="634">
      <c r="E634" s="124"/>
    </row>
    <row r="635">
      <c r="E635" s="124"/>
    </row>
    <row r="636">
      <c r="E636" s="124"/>
    </row>
    <row r="637">
      <c r="E637" s="124"/>
    </row>
    <row r="638">
      <c r="E638" s="124"/>
    </row>
    <row r="639">
      <c r="E639" s="124"/>
    </row>
    <row r="640">
      <c r="E640" s="124"/>
    </row>
    <row r="641">
      <c r="E641" s="124"/>
    </row>
    <row r="642">
      <c r="E642" s="124"/>
    </row>
    <row r="643">
      <c r="E643" s="124"/>
    </row>
    <row r="644">
      <c r="E644" s="124"/>
    </row>
    <row r="645">
      <c r="E645" s="124"/>
    </row>
    <row r="646">
      <c r="E646" s="124"/>
    </row>
    <row r="647">
      <c r="E647" s="124"/>
    </row>
    <row r="648">
      <c r="E648" s="124"/>
    </row>
    <row r="649">
      <c r="E649" s="124"/>
    </row>
    <row r="650">
      <c r="E650" s="124"/>
    </row>
    <row r="651">
      <c r="E651" s="124"/>
    </row>
    <row r="652">
      <c r="E652" s="124"/>
    </row>
    <row r="653">
      <c r="E653" s="124"/>
    </row>
    <row r="654">
      <c r="E654" s="124"/>
    </row>
    <row r="655">
      <c r="E655" s="124"/>
    </row>
    <row r="656">
      <c r="E656" s="124"/>
    </row>
    <row r="657">
      <c r="E657" s="124"/>
    </row>
    <row r="658">
      <c r="E658" s="124"/>
    </row>
    <row r="659">
      <c r="E659" s="124"/>
    </row>
    <row r="660">
      <c r="E660" s="124"/>
    </row>
    <row r="661">
      <c r="E661" s="124"/>
    </row>
    <row r="662">
      <c r="E662" s="124"/>
    </row>
    <row r="663">
      <c r="E663" s="124"/>
    </row>
    <row r="664">
      <c r="E664" s="124"/>
    </row>
    <row r="665">
      <c r="E665" s="124"/>
    </row>
    <row r="666">
      <c r="E666" s="124"/>
    </row>
    <row r="667">
      <c r="E667" s="124"/>
    </row>
    <row r="668">
      <c r="E668" s="124"/>
    </row>
    <row r="669">
      <c r="E669" s="124"/>
    </row>
    <row r="670">
      <c r="E670" s="124"/>
    </row>
    <row r="671">
      <c r="E671" s="124"/>
    </row>
    <row r="672">
      <c r="E672" s="124"/>
    </row>
    <row r="673">
      <c r="E673" s="124"/>
    </row>
    <row r="674">
      <c r="E674" s="124"/>
    </row>
    <row r="675">
      <c r="E675" s="124"/>
    </row>
    <row r="676">
      <c r="E676" s="124"/>
    </row>
    <row r="677">
      <c r="E677" s="124"/>
    </row>
    <row r="678">
      <c r="E678" s="124"/>
    </row>
    <row r="679">
      <c r="E679" s="124"/>
    </row>
    <row r="680">
      <c r="E680" s="124"/>
    </row>
    <row r="681">
      <c r="E681" s="124"/>
    </row>
    <row r="682">
      <c r="E682" s="124"/>
    </row>
    <row r="683">
      <c r="E683" s="124"/>
    </row>
    <row r="684">
      <c r="E684" s="124"/>
    </row>
    <row r="685">
      <c r="E685" s="124"/>
    </row>
    <row r="686">
      <c r="E686" s="124"/>
    </row>
    <row r="687">
      <c r="E687" s="124"/>
    </row>
    <row r="688">
      <c r="E688" s="124"/>
    </row>
    <row r="689">
      <c r="E689" s="124"/>
    </row>
    <row r="690">
      <c r="E690" s="124"/>
    </row>
    <row r="691">
      <c r="E691" s="124"/>
    </row>
    <row r="692">
      <c r="E692" s="124"/>
    </row>
    <row r="693">
      <c r="E693" s="124"/>
    </row>
    <row r="694">
      <c r="E694" s="124"/>
    </row>
    <row r="695">
      <c r="E695" s="124"/>
    </row>
    <row r="696">
      <c r="E696" s="124"/>
    </row>
    <row r="697">
      <c r="E697" s="124"/>
    </row>
    <row r="698">
      <c r="E698" s="124"/>
    </row>
    <row r="699">
      <c r="E699" s="124"/>
    </row>
    <row r="700">
      <c r="E700" s="124"/>
    </row>
    <row r="701">
      <c r="E701" s="124"/>
    </row>
    <row r="702">
      <c r="E702" s="124"/>
    </row>
    <row r="703">
      <c r="E703" s="124"/>
    </row>
    <row r="704">
      <c r="E704" s="124"/>
    </row>
    <row r="705">
      <c r="E705" s="124"/>
    </row>
    <row r="706">
      <c r="E706" s="124"/>
    </row>
    <row r="707">
      <c r="E707" s="124"/>
    </row>
    <row r="708">
      <c r="E708" s="124"/>
    </row>
    <row r="709">
      <c r="E709" s="124"/>
    </row>
    <row r="710">
      <c r="E710" s="124"/>
    </row>
    <row r="711">
      <c r="E711" s="124"/>
    </row>
    <row r="712">
      <c r="E712" s="124"/>
    </row>
    <row r="713">
      <c r="E713" s="124"/>
    </row>
    <row r="714">
      <c r="E714" s="124"/>
    </row>
    <row r="715">
      <c r="E715" s="124"/>
    </row>
    <row r="716">
      <c r="E716" s="124"/>
    </row>
    <row r="717">
      <c r="E717" s="124"/>
    </row>
    <row r="718">
      <c r="E718" s="124"/>
    </row>
    <row r="719">
      <c r="E719" s="124"/>
    </row>
    <row r="720">
      <c r="E720" s="124"/>
    </row>
    <row r="721">
      <c r="E721" s="124"/>
    </row>
    <row r="722">
      <c r="E722" s="124"/>
    </row>
    <row r="723">
      <c r="E723" s="124"/>
    </row>
    <row r="724">
      <c r="E724" s="124"/>
    </row>
    <row r="725">
      <c r="E725" s="124"/>
    </row>
    <row r="726">
      <c r="E726" s="124"/>
    </row>
    <row r="727">
      <c r="E727" s="124"/>
    </row>
    <row r="728">
      <c r="E728" s="124"/>
    </row>
    <row r="729">
      <c r="E729" s="124"/>
    </row>
    <row r="730">
      <c r="E730" s="124"/>
    </row>
    <row r="731">
      <c r="E731" s="124"/>
    </row>
    <row r="732">
      <c r="E732" s="124"/>
    </row>
    <row r="733">
      <c r="E733" s="124"/>
    </row>
    <row r="734">
      <c r="E734" s="124"/>
    </row>
    <row r="735">
      <c r="E735" s="124"/>
    </row>
    <row r="736">
      <c r="E736" s="124"/>
    </row>
    <row r="737">
      <c r="E737" s="124"/>
    </row>
    <row r="738">
      <c r="E738" s="124"/>
    </row>
    <row r="739">
      <c r="E739" s="124"/>
    </row>
    <row r="740">
      <c r="E740" s="124"/>
    </row>
    <row r="741">
      <c r="E741" s="124"/>
    </row>
    <row r="742">
      <c r="E742" s="124"/>
    </row>
    <row r="743">
      <c r="E743" s="124"/>
    </row>
    <row r="744">
      <c r="E744" s="124"/>
    </row>
    <row r="745">
      <c r="E745" s="124"/>
    </row>
    <row r="746">
      <c r="E746" s="124"/>
    </row>
    <row r="747">
      <c r="E747" s="124"/>
    </row>
    <row r="748">
      <c r="E748" s="124"/>
    </row>
    <row r="749">
      <c r="E749" s="124"/>
    </row>
    <row r="750">
      <c r="E750" s="124"/>
    </row>
    <row r="751">
      <c r="E751" s="124"/>
    </row>
    <row r="752">
      <c r="E752" s="124"/>
    </row>
    <row r="753">
      <c r="E753" s="124"/>
    </row>
    <row r="754">
      <c r="E754" s="124"/>
    </row>
    <row r="755">
      <c r="E755" s="124"/>
    </row>
    <row r="756">
      <c r="E756" s="124"/>
    </row>
    <row r="757">
      <c r="E757" s="124"/>
    </row>
    <row r="758">
      <c r="E758" s="124"/>
    </row>
    <row r="759">
      <c r="E759" s="124"/>
    </row>
    <row r="760">
      <c r="E760" s="124"/>
    </row>
    <row r="761">
      <c r="E761" s="124"/>
    </row>
    <row r="762">
      <c r="E762" s="124"/>
    </row>
    <row r="763">
      <c r="E763" s="124"/>
    </row>
    <row r="764">
      <c r="E764" s="124"/>
    </row>
    <row r="765">
      <c r="E765" s="124"/>
    </row>
    <row r="766">
      <c r="E766" s="124"/>
    </row>
    <row r="767">
      <c r="E767" s="124"/>
    </row>
    <row r="768">
      <c r="E768" s="124"/>
    </row>
    <row r="769">
      <c r="E769" s="124"/>
    </row>
    <row r="770">
      <c r="E770" s="124"/>
    </row>
    <row r="771">
      <c r="E771" s="124"/>
    </row>
    <row r="772">
      <c r="E772" s="124"/>
    </row>
    <row r="773">
      <c r="E773" s="124"/>
    </row>
    <row r="774">
      <c r="E774" s="124"/>
    </row>
    <row r="775">
      <c r="E775" s="124"/>
    </row>
    <row r="776">
      <c r="E776" s="124"/>
    </row>
    <row r="777">
      <c r="E777" s="124"/>
    </row>
    <row r="778">
      <c r="E778" s="124"/>
    </row>
    <row r="779">
      <c r="E779" s="124"/>
    </row>
    <row r="780">
      <c r="E780" s="124"/>
    </row>
    <row r="781">
      <c r="E781" s="124"/>
    </row>
    <row r="782">
      <c r="E782" s="124"/>
    </row>
    <row r="783">
      <c r="E783" s="124"/>
    </row>
    <row r="784">
      <c r="E784" s="124"/>
    </row>
    <row r="785">
      <c r="E785" s="124"/>
    </row>
    <row r="786">
      <c r="E786" s="124"/>
    </row>
    <row r="787">
      <c r="E787" s="124"/>
    </row>
    <row r="788">
      <c r="E788" s="124"/>
    </row>
    <row r="789">
      <c r="E789" s="124"/>
    </row>
    <row r="790">
      <c r="E790" s="124"/>
    </row>
    <row r="791">
      <c r="E791" s="124"/>
    </row>
    <row r="792">
      <c r="E792" s="124"/>
    </row>
    <row r="793">
      <c r="E793" s="124"/>
    </row>
    <row r="794">
      <c r="E794" s="124"/>
    </row>
    <row r="795">
      <c r="E795" s="124"/>
    </row>
    <row r="796">
      <c r="E796" s="124"/>
    </row>
    <row r="797">
      <c r="E797" s="124"/>
    </row>
    <row r="798">
      <c r="E798" s="124"/>
    </row>
    <row r="799">
      <c r="E799" s="124"/>
    </row>
    <row r="800">
      <c r="E800" s="124"/>
    </row>
    <row r="801">
      <c r="E801" s="124"/>
    </row>
    <row r="802">
      <c r="E802" s="124"/>
    </row>
    <row r="803">
      <c r="E803" s="124"/>
    </row>
    <row r="804">
      <c r="E804" s="124"/>
    </row>
    <row r="805">
      <c r="E805" s="124"/>
    </row>
    <row r="806">
      <c r="E806" s="124"/>
    </row>
    <row r="807">
      <c r="E807" s="124"/>
    </row>
    <row r="808">
      <c r="E808" s="124"/>
    </row>
    <row r="809">
      <c r="E809" s="124"/>
    </row>
    <row r="810">
      <c r="E810" s="124"/>
    </row>
    <row r="811">
      <c r="E811" s="124"/>
    </row>
    <row r="812">
      <c r="E812" s="124"/>
    </row>
    <row r="813">
      <c r="E813" s="124"/>
    </row>
    <row r="814">
      <c r="E814" s="124"/>
    </row>
    <row r="815">
      <c r="E815" s="124"/>
    </row>
    <row r="816">
      <c r="E816" s="124"/>
    </row>
    <row r="817">
      <c r="E817" s="124"/>
    </row>
    <row r="818">
      <c r="E818" s="124"/>
    </row>
    <row r="819">
      <c r="E819" s="124"/>
    </row>
    <row r="820">
      <c r="E820" s="124"/>
    </row>
    <row r="821">
      <c r="E821" s="124"/>
    </row>
    <row r="822">
      <c r="E822" s="124"/>
    </row>
    <row r="823">
      <c r="E823" s="124"/>
    </row>
    <row r="824">
      <c r="E824" s="124"/>
    </row>
    <row r="825">
      <c r="E825" s="124"/>
    </row>
    <row r="826">
      <c r="E826" s="124"/>
    </row>
    <row r="827">
      <c r="E827" s="124"/>
    </row>
    <row r="828">
      <c r="E828" s="124"/>
    </row>
    <row r="829">
      <c r="E829" s="124"/>
    </row>
    <row r="830">
      <c r="E830" s="124"/>
    </row>
    <row r="831">
      <c r="E831" s="124"/>
    </row>
    <row r="832">
      <c r="E832" s="124"/>
    </row>
    <row r="833">
      <c r="E833" s="124"/>
    </row>
    <row r="834">
      <c r="E834" s="124"/>
    </row>
    <row r="835">
      <c r="E835" s="124"/>
    </row>
    <row r="836">
      <c r="E836" s="124"/>
    </row>
    <row r="837">
      <c r="E837" s="124"/>
    </row>
    <row r="838">
      <c r="E838" s="124"/>
    </row>
    <row r="839">
      <c r="E839" s="124"/>
    </row>
    <row r="840">
      <c r="E840" s="124"/>
    </row>
    <row r="841">
      <c r="E841" s="124"/>
    </row>
    <row r="842">
      <c r="E842" s="124"/>
    </row>
    <row r="843">
      <c r="E843" s="124"/>
    </row>
    <row r="844">
      <c r="E844" s="124"/>
    </row>
    <row r="845">
      <c r="E845" s="124"/>
    </row>
    <row r="846">
      <c r="E846" s="124"/>
    </row>
    <row r="847">
      <c r="E847" s="124"/>
    </row>
    <row r="848">
      <c r="E848" s="124"/>
    </row>
    <row r="849">
      <c r="E849" s="124"/>
    </row>
    <row r="850">
      <c r="E850" s="124"/>
    </row>
    <row r="851">
      <c r="E851" s="124"/>
    </row>
    <row r="852">
      <c r="E852" s="124"/>
    </row>
    <row r="853">
      <c r="E853" s="124"/>
    </row>
    <row r="854">
      <c r="E854" s="124"/>
    </row>
    <row r="855">
      <c r="E855" s="124"/>
    </row>
    <row r="856">
      <c r="E856" s="124"/>
    </row>
    <row r="857">
      <c r="E857" s="124"/>
    </row>
    <row r="858">
      <c r="E858" s="124"/>
    </row>
    <row r="859">
      <c r="E859" s="124"/>
    </row>
    <row r="860">
      <c r="E860" s="124"/>
    </row>
    <row r="861">
      <c r="E861" s="124"/>
    </row>
    <row r="862">
      <c r="E862" s="124"/>
    </row>
    <row r="863">
      <c r="E863" s="124"/>
    </row>
    <row r="864">
      <c r="E864" s="124"/>
    </row>
    <row r="865">
      <c r="E865" s="124"/>
    </row>
    <row r="866">
      <c r="E866" s="124"/>
    </row>
    <row r="867">
      <c r="E867" s="124"/>
    </row>
    <row r="868">
      <c r="E868" s="124"/>
    </row>
    <row r="869">
      <c r="E869" s="124"/>
    </row>
    <row r="870">
      <c r="E870" s="124"/>
    </row>
    <row r="871">
      <c r="E871" s="124"/>
    </row>
    <row r="872">
      <c r="E872" s="124"/>
    </row>
    <row r="873">
      <c r="E873" s="124"/>
    </row>
    <row r="874">
      <c r="E874" s="124"/>
    </row>
    <row r="875">
      <c r="E875" s="124"/>
    </row>
    <row r="876">
      <c r="E876" s="124"/>
    </row>
    <row r="877">
      <c r="E877" s="124"/>
    </row>
    <row r="878">
      <c r="E878" s="124"/>
    </row>
    <row r="879">
      <c r="E879" s="124"/>
    </row>
    <row r="880">
      <c r="E880" s="124"/>
    </row>
    <row r="881">
      <c r="E881" s="124"/>
    </row>
    <row r="882">
      <c r="E882" s="124"/>
    </row>
    <row r="883">
      <c r="E883" s="124"/>
    </row>
    <row r="884">
      <c r="E884" s="124"/>
    </row>
    <row r="885">
      <c r="E885" s="124"/>
    </row>
    <row r="886">
      <c r="E886" s="124"/>
    </row>
    <row r="887">
      <c r="E887" s="124"/>
    </row>
    <row r="888">
      <c r="E888" s="124"/>
    </row>
    <row r="889">
      <c r="E889" s="124"/>
    </row>
    <row r="890">
      <c r="E890" s="124"/>
    </row>
    <row r="891">
      <c r="E891" s="124"/>
    </row>
    <row r="892">
      <c r="E892" s="124"/>
    </row>
    <row r="893">
      <c r="E893" s="124"/>
    </row>
    <row r="894">
      <c r="E894" s="124"/>
    </row>
    <row r="895">
      <c r="E895" s="124"/>
    </row>
    <row r="896">
      <c r="E896" s="124"/>
    </row>
    <row r="897">
      <c r="E897" s="124"/>
    </row>
    <row r="898">
      <c r="E898" s="124"/>
    </row>
    <row r="899">
      <c r="E899" s="124"/>
    </row>
    <row r="900">
      <c r="E900" s="124"/>
    </row>
    <row r="901">
      <c r="E901" s="124"/>
    </row>
    <row r="902">
      <c r="E902" s="124"/>
    </row>
    <row r="903">
      <c r="E903" s="124"/>
    </row>
    <row r="904">
      <c r="E904" s="124"/>
    </row>
    <row r="905">
      <c r="E905" s="124"/>
    </row>
    <row r="906">
      <c r="E906" s="124"/>
    </row>
    <row r="907">
      <c r="E907" s="124"/>
    </row>
    <row r="908">
      <c r="E908" s="124"/>
    </row>
    <row r="909">
      <c r="E909" s="124"/>
    </row>
    <row r="910">
      <c r="E910" s="124"/>
    </row>
    <row r="911">
      <c r="E911" s="124"/>
    </row>
    <row r="912">
      <c r="E912" s="124"/>
    </row>
    <row r="913">
      <c r="E913" s="124"/>
    </row>
    <row r="914">
      <c r="E914" s="124"/>
    </row>
    <row r="915">
      <c r="E915" s="124"/>
    </row>
    <row r="916">
      <c r="E916" s="124"/>
    </row>
    <row r="917">
      <c r="E917" s="124"/>
    </row>
    <row r="918">
      <c r="E918" s="124"/>
    </row>
    <row r="919">
      <c r="E919" s="124"/>
    </row>
    <row r="920">
      <c r="E920" s="124"/>
    </row>
    <row r="921">
      <c r="E921" s="124"/>
    </row>
    <row r="922">
      <c r="E922" s="124"/>
    </row>
    <row r="923">
      <c r="E923" s="124"/>
    </row>
    <row r="924">
      <c r="E924" s="124"/>
    </row>
    <row r="925">
      <c r="E925" s="124"/>
    </row>
    <row r="926">
      <c r="E926" s="124"/>
    </row>
    <row r="927">
      <c r="E927" s="124"/>
    </row>
    <row r="928">
      <c r="E928" s="124"/>
    </row>
    <row r="929">
      <c r="E929" s="124"/>
    </row>
    <row r="930">
      <c r="E930" s="124"/>
    </row>
    <row r="931">
      <c r="E931" s="124"/>
    </row>
    <row r="932">
      <c r="E932" s="124"/>
    </row>
    <row r="933">
      <c r="E933" s="124"/>
    </row>
    <row r="934">
      <c r="E934" s="124"/>
    </row>
    <row r="935">
      <c r="E935" s="124"/>
    </row>
    <row r="936">
      <c r="E936" s="124"/>
    </row>
    <row r="937">
      <c r="E937" s="124"/>
    </row>
    <row r="938">
      <c r="E938" s="124"/>
    </row>
    <row r="939">
      <c r="E939" s="124"/>
    </row>
    <row r="940">
      <c r="E940" s="124"/>
    </row>
    <row r="941">
      <c r="E941" s="124"/>
    </row>
    <row r="942">
      <c r="E942" s="124"/>
    </row>
    <row r="943">
      <c r="E943" s="124"/>
    </row>
    <row r="944">
      <c r="E944" s="124"/>
    </row>
    <row r="945">
      <c r="E945" s="124"/>
    </row>
    <row r="946">
      <c r="E946" s="124"/>
    </row>
    <row r="947">
      <c r="E947" s="124"/>
    </row>
    <row r="948">
      <c r="E948" s="124"/>
    </row>
    <row r="949">
      <c r="E949" s="124"/>
    </row>
    <row r="950">
      <c r="E950" s="124"/>
    </row>
    <row r="951">
      <c r="E951" s="124"/>
    </row>
    <row r="952">
      <c r="E952" s="124"/>
    </row>
    <row r="953">
      <c r="E953" s="124"/>
    </row>
    <row r="954">
      <c r="E954" s="124"/>
    </row>
    <row r="955">
      <c r="E955" s="124"/>
    </row>
    <row r="956">
      <c r="E956" s="124"/>
    </row>
    <row r="957">
      <c r="E957" s="124"/>
    </row>
    <row r="958">
      <c r="E958" s="124"/>
    </row>
    <row r="959">
      <c r="E959" s="124"/>
    </row>
    <row r="960">
      <c r="E960" s="124"/>
    </row>
    <row r="961">
      <c r="E961" s="124"/>
    </row>
    <row r="962">
      <c r="E962" s="124"/>
    </row>
    <row r="963">
      <c r="E963" s="124"/>
    </row>
    <row r="964">
      <c r="E964" s="124"/>
    </row>
    <row r="965">
      <c r="E965" s="124"/>
    </row>
    <row r="966">
      <c r="E966" s="124"/>
    </row>
    <row r="967">
      <c r="E967" s="124"/>
    </row>
    <row r="968">
      <c r="E968" s="124"/>
    </row>
    <row r="969">
      <c r="E969" s="124"/>
    </row>
    <row r="970">
      <c r="E970" s="124"/>
    </row>
    <row r="971">
      <c r="E971" s="124"/>
    </row>
    <row r="972">
      <c r="E972" s="124"/>
    </row>
    <row r="973">
      <c r="E973" s="124"/>
    </row>
    <row r="974">
      <c r="E974" s="124"/>
    </row>
    <row r="975">
      <c r="E975" s="124"/>
    </row>
    <row r="976">
      <c r="E976" s="124"/>
    </row>
    <row r="977">
      <c r="E977" s="124"/>
    </row>
    <row r="978">
      <c r="E978" s="124"/>
    </row>
    <row r="979">
      <c r="E979" s="124"/>
    </row>
    <row r="980">
      <c r="E980" s="124"/>
    </row>
    <row r="981">
      <c r="E981" s="124"/>
    </row>
    <row r="982">
      <c r="E982" s="124"/>
    </row>
  </sheetData>
  <autoFilter ref="$A$4:$N$47">
    <sortState ref="A4:N47">
      <sortCondition descending="1" ref="N4:N47"/>
    </sortState>
  </autoFilter>
  <mergeCells count="2">
    <mergeCell ref="F3:H3"/>
    <mergeCell ref="I3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149</v>
      </c>
      <c r="C5" s="23" t="s">
        <v>15</v>
      </c>
      <c r="D5" s="23" t="s">
        <v>21</v>
      </c>
      <c r="E5" s="28">
        <v>619.0</v>
      </c>
      <c r="F5" s="28">
        <v>6.0</v>
      </c>
      <c r="G5" s="28">
        <v>20.0</v>
      </c>
      <c r="H5" s="29"/>
      <c r="I5" s="105"/>
      <c r="J5" s="105"/>
      <c r="K5" s="61">
        <f t="shared" ref="K5:K52" si="1">(H5+E5)/4</f>
        <v>154.75</v>
      </c>
      <c r="L5" s="61">
        <f t="shared" ref="L5:L52" si="2">J5+G5</f>
        <v>20</v>
      </c>
      <c r="M5" s="61">
        <f t="shared" ref="M5:M52" si="3">K5+L5</f>
        <v>174.75</v>
      </c>
    </row>
    <row r="6">
      <c r="A6" s="32"/>
      <c r="B6" s="23" t="s">
        <v>231</v>
      </c>
      <c r="C6" s="23" t="s">
        <v>18</v>
      </c>
      <c r="D6" s="23" t="s">
        <v>40</v>
      </c>
      <c r="E6" s="123">
        <v>639.0</v>
      </c>
      <c r="F6" s="28"/>
      <c r="G6" s="28"/>
      <c r="H6" s="29"/>
      <c r="I6" s="105"/>
      <c r="J6" s="105"/>
      <c r="K6" s="61">
        <f t="shared" si="1"/>
        <v>159.75</v>
      </c>
      <c r="L6" s="61">
        <f t="shared" si="2"/>
        <v>0</v>
      </c>
      <c r="M6" s="61">
        <f t="shared" si="3"/>
        <v>159.75</v>
      </c>
    </row>
    <row r="7">
      <c r="A7" s="32"/>
      <c r="B7" s="23" t="s">
        <v>73</v>
      </c>
      <c r="C7" s="23" t="s">
        <v>15</v>
      </c>
      <c r="D7" s="23"/>
      <c r="E7" s="28">
        <v>628.0</v>
      </c>
      <c r="F7" s="28"/>
      <c r="G7" s="28"/>
      <c r="H7" s="101"/>
      <c r="I7" s="101"/>
      <c r="J7" s="101"/>
      <c r="K7" s="61">
        <f t="shared" si="1"/>
        <v>157</v>
      </c>
      <c r="L7" s="61">
        <f t="shared" si="2"/>
        <v>0</v>
      </c>
      <c r="M7" s="61">
        <f t="shared" si="3"/>
        <v>157</v>
      </c>
    </row>
    <row r="8">
      <c r="A8" s="61"/>
      <c r="B8" s="23" t="s">
        <v>153</v>
      </c>
      <c r="C8" s="23" t="s">
        <v>15</v>
      </c>
      <c r="D8" s="23" t="s">
        <v>21</v>
      </c>
      <c r="E8" s="28">
        <v>603.0</v>
      </c>
      <c r="F8" s="28">
        <v>8.0</v>
      </c>
      <c r="G8" s="28">
        <v>5.0</v>
      </c>
      <c r="H8" s="29"/>
      <c r="I8" s="105"/>
      <c r="J8" s="105"/>
      <c r="K8" s="61">
        <f t="shared" si="1"/>
        <v>150.75</v>
      </c>
      <c r="L8" s="61">
        <f t="shared" si="2"/>
        <v>5</v>
      </c>
      <c r="M8" s="61">
        <f t="shared" si="3"/>
        <v>155.75</v>
      </c>
    </row>
    <row r="9">
      <c r="A9" s="61"/>
      <c r="B9" s="108" t="s">
        <v>161</v>
      </c>
      <c r="C9" s="108" t="s">
        <v>32</v>
      </c>
      <c r="D9" s="108" t="s">
        <v>40</v>
      </c>
      <c r="E9" s="28">
        <v>618.0</v>
      </c>
      <c r="F9" s="28"/>
      <c r="G9" s="28"/>
      <c r="H9" s="112"/>
      <c r="I9" s="112"/>
      <c r="J9" s="112"/>
      <c r="K9" s="61">
        <f t="shared" si="1"/>
        <v>154.5</v>
      </c>
      <c r="L9" s="61">
        <f t="shared" si="2"/>
        <v>0</v>
      </c>
      <c r="M9" s="61">
        <f t="shared" si="3"/>
        <v>154.5</v>
      </c>
    </row>
    <row r="10">
      <c r="A10" s="32"/>
      <c r="B10" s="23" t="s">
        <v>74</v>
      </c>
      <c r="C10" s="23" t="s">
        <v>15</v>
      </c>
      <c r="D10" s="23"/>
      <c r="E10" s="28">
        <v>606.0</v>
      </c>
      <c r="F10" s="28"/>
      <c r="G10" s="28"/>
      <c r="H10" s="29"/>
      <c r="I10" s="101"/>
      <c r="J10" s="101"/>
      <c r="K10" s="61">
        <f t="shared" si="1"/>
        <v>151.5</v>
      </c>
      <c r="L10" s="61">
        <f t="shared" si="2"/>
        <v>0</v>
      </c>
      <c r="M10" s="61">
        <f t="shared" si="3"/>
        <v>151.5</v>
      </c>
    </row>
    <row r="11">
      <c r="A11" s="32"/>
      <c r="B11" s="23" t="s">
        <v>71</v>
      </c>
      <c r="C11" s="23" t="s">
        <v>67</v>
      </c>
      <c r="D11" s="23" t="s">
        <v>34</v>
      </c>
      <c r="E11" s="28">
        <v>604.0</v>
      </c>
      <c r="F11" s="28"/>
      <c r="G11" s="28"/>
      <c r="H11" s="29"/>
      <c r="I11" s="17"/>
      <c r="J11" s="17"/>
      <c r="K11" s="61">
        <f t="shared" si="1"/>
        <v>151</v>
      </c>
      <c r="L11" s="61">
        <f t="shared" si="2"/>
        <v>0</v>
      </c>
      <c r="M11" s="61">
        <f t="shared" si="3"/>
        <v>151</v>
      </c>
    </row>
    <row r="12">
      <c r="A12" s="32"/>
      <c r="B12" s="23" t="s">
        <v>152</v>
      </c>
      <c r="C12" s="23" t="s">
        <v>51</v>
      </c>
      <c r="D12" s="23"/>
      <c r="E12" s="113">
        <v>597.0</v>
      </c>
      <c r="F12" s="28"/>
      <c r="G12" s="28"/>
      <c r="H12" s="47"/>
      <c r="I12" s="17"/>
      <c r="J12" s="17"/>
      <c r="K12" s="61">
        <f t="shared" si="1"/>
        <v>149.25</v>
      </c>
      <c r="L12" s="61">
        <f t="shared" si="2"/>
        <v>0</v>
      </c>
      <c r="M12" s="61">
        <f t="shared" si="3"/>
        <v>149.25</v>
      </c>
    </row>
    <row r="13">
      <c r="A13" s="61"/>
      <c r="B13" s="23" t="s">
        <v>137</v>
      </c>
      <c r="C13" s="23" t="s">
        <v>42</v>
      </c>
      <c r="D13" s="23"/>
      <c r="E13" s="28">
        <v>579.0</v>
      </c>
      <c r="F13" s="28"/>
      <c r="G13" s="28"/>
      <c r="H13" s="101"/>
      <c r="I13" s="105"/>
      <c r="J13" s="105"/>
      <c r="K13" s="61">
        <f t="shared" si="1"/>
        <v>144.75</v>
      </c>
      <c r="L13" s="61">
        <f t="shared" si="2"/>
        <v>0</v>
      </c>
      <c r="M13" s="61">
        <f t="shared" si="3"/>
        <v>144.75</v>
      </c>
    </row>
    <row r="14">
      <c r="A14" s="61"/>
      <c r="B14" s="23" t="s">
        <v>131</v>
      </c>
      <c r="C14" s="23" t="s">
        <v>39</v>
      </c>
      <c r="D14" s="23"/>
      <c r="E14" s="28">
        <v>567.0</v>
      </c>
      <c r="F14" s="28"/>
      <c r="G14" s="28"/>
      <c r="H14" s="101"/>
      <c r="I14" s="105"/>
      <c r="J14" s="105"/>
      <c r="K14" s="61">
        <f t="shared" si="1"/>
        <v>141.75</v>
      </c>
      <c r="L14" s="61">
        <f t="shared" si="2"/>
        <v>0</v>
      </c>
      <c r="M14" s="61">
        <f t="shared" si="3"/>
        <v>141.75</v>
      </c>
    </row>
    <row r="15">
      <c r="A15" s="61"/>
      <c r="B15" s="23" t="s">
        <v>70</v>
      </c>
      <c r="C15" s="23" t="s">
        <v>51</v>
      </c>
      <c r="D15" s="23"/>
      <c r="E15" s="28">
        <v>563.0</v>
      </c>
      <c r="F15" s="28"/>
      <c r="G15" s="28"/>
      <c r="H15" s="101"/>
      <c r="I15" s="105"/>
      <c r="J15" s="105"/>
      <c r="K15" s="61">
        <f t="shared" si="1"/>
        <v>140.75</v>
      </c>
      <c r="L15" s="61">
        <f t="shared" si="2"/>
        <v>0</v>
      </c>
      <c r="M15" s="61">
        <f t="shared" si="3"/>
        <v>140.75</v>
      </c>
    </row>
    <row r="16">
      <c r="A16" s="61"/>
      <c r="B16" s="23" t="s">
        <v>81</v>
      </c>
      <c r="C16" s="23" t="s">
        <v>51</v>
      </c>
      <c r="D16" s="23"/>
      <c r="E16" s="28">
        <v>561.0</v>
      </c>
      <c r="F16" s="28"/>
      <c r="G16" s="28"/>
      <c r="H16" s="29"/>
      <c r="I16" s="105"/>
      <c r="J16" s="105"/>
      <c r="K16" s="61">
        <f t="shared" si="1"/>
        <v>140.25</v>
      </c>
      <c r="L16" s="61">
        <f t="shared" si="2"/>
        <v>0</v>
      </c>
      <c r="M16" s="61">
        <f t="shared" si="3"/>
        <v>140.25</v>
      </c>
    </row>
    <row r="17">
      <c r="A17" s="32"/>
      <c r="B17" s="23" t="s">
        <v>155</v>
      </c>
      <c r="C17" s="23" t="s">
        <v>67</v>
      </c>
      <c r="D17" s="23" t="s">
        <v>34</v>
      </c>
      <c r="E17" s="28">
        <v>543.0</v>
      </c>
      <c r="F17" s="28"/>
      <c r="G17" s="28"/>
      <c r="H17" s="29"/>
      <c r="I17" s="17"/>
      <c r="J17" s="17"/>
      <c r="K17" s="61">
        <f t="shared" si="1"/>
        <v>135.75</v>
      </c>
      <c r="L17" s="61">
        <f t="shared" si="2"/>
        <v>0</v>
      </c>
      <c r="M17" s="61">
        <f t="shared" si="3"/>
        <v>135.75</v>
      </c>
    </row>
    <row r="18">
      <c r="A18" s="32"/>
      <c r="B18" s="108" t="s">
        <v>77</v>
      </c>
      <c r="C18" s="108" t="s">
        <v>39</v>
      </c>
      <c r="D18" s="23"/>
      <c r="E18" s="28">
        <v>503.0</v>
      </c>
      <c r="F18" s="28"/>
      <c r="G18" s="28"/>
      <c r="H18" s="112"/>
      <c r="I18" s="114"/>
      <c r="J18" s="114"/>
      <c r="K18" s="61">
        <f t="shared" si="1"/>
        <v>125.75</v>
      </c>
      <c r="L18" s="61">
        <f t="shared" si="2"/>
        <v>0</v>
      </c>
      <c r="M18" s="61">
        <f t="shared" si="3"/>
        <v>125.75</v>
      </c>
    </row>
    <row r="19">
      <c r="A19" s="32"/>
      <c r="B19" s="23" t="s">
        <v>58</v>
      </c>
      <c r="C19" s="23" t="s">
        <v>32</v>
      </c>
      <c r="D19" s="23"/>
      <c r="E19" s="28">
        <v>485.0</v>
      </c>
      <c r="F19" s="28"/>
      <c r="G19" s="28"/>
      <c r="H19" s="101"/>
      <c r="I19" s="105"/>
      <c r="J19" s="105"/>
      <c r="K19" s="61">
        <f t="shared" si="1"/>
        <v>121.25</v>
      </c>
      <c r="L19" s="61">
        <f t="shared" si="2"/>
        <v>0</v>
      </c>
      <c r="M19" s="61">
        <f t="shared" si="3"/>
        <v>121.25</v>
      </c>
    </row>
    <row r="20">
      <c r="A20" s="61"/>
      <c r="B20" s="23" t="s">
        <v>166</v>
      </c>
      <c r="C20" s="23" t="s">
        <v>67</v>
      </c>
      <c r="D20" s="23"/>
      <c r="E20" s="28">
        <v>451.0</v>
      </c>
      <c r="F20" s="28"/>
      <c r="G20" s="28"/>
      <c r="H20" s="101"/>
      <c r="I20" s="105"/>
      <c r="J20" s="105"/>
      <c r="K20" s="61">
        <f t="shared" si="1"/>
        <v>112.75</v>
      </c>
      <c r="L20" s="61">
        <f t="shared" si="2"/>
        <v>0</v>
      </c>
      <c r="M20" s="61">
        <f t="shared" si="3"/>
        <v>112.75</v>
      </c>
    </row>
    <row r="21">
      <c r="A21" s="32"/>
      <c r="B21" s="108" t="s">
        <v>232</v>
      </c>
      <c r="C21" s="108" t="s">
        <v>39</v>
      </c>
      <c r="D21" s="23"/>
      <c r="E21" s="28">
        <v>406.0</v>
      </c>
      <c r="F21" s="28"/>
      <c r="G21" s="28"/>
      <c r="H21" s="112"/>
      <c r="I21" s="112"/>
      <c r="J21" s="112"/>
      <c r="K21" s="61">
        <f t="shared" si="1"/>
        <v>101.5</v>
      </c>
      <c r="L21" s="61">
        <f t="shared" si="2"/>
        <v>0</v>
      </c>
      <c r="M21" s="61">
        <f t="shared" si="3"/>
        <v>101.5</v>
      </c>
    </row>
    <row r="22">
      <c r="A22" s="61"/>
      <c r="B22" s="23" t="s">
        <v>170</v>
      </c>
      <c r="C22" s="23" t="s">
        <v>168</v>
      </c>
      <c r="D22" s="23"/>
      <c r="E22" s="28">
        <v>314.0</v>
      </c>
      <c r="F22" s="28"/>
      <c r="G22" s="28"/>
      <c r="H22" s="105"/>
      <c r="I22" s="105"/>
      <c r="J22" s="105"/>
      <c r="K22" s="61">
        <f t="shared" si="1"/>
        <v>78.5</v>
      </c>
      <c r="L22" s="61">
        <f t="shared" si="2"/>
        <v>0</v>
      </c>
      <c r="M22" s="61">
        <f t="shared" si="3"/>
        <v>78.5</v>
      </c>
    </row>
    <row r="23">
      <c r="A23" s="61"/>
      <c r="B23" s="108" t="s">
        <v>227</v>
      </c>
      <c r="C23" s="108" t="s">
        <v>168</v>
      </c>
      <c r="D23" s="23"/>
      <c r="E23" s="28">
        <v>313.0</v>
      </c>
      <c r="F23" s="28"/>
      <c r="G23" s="28"/>
      <c r="H23" s="112"/>
      <c r="I23" s="114"/>
      <c r="J23" s="114"/>
      <c r="K23" s="61">
        <f t="shared" si="1"/>
        <v>78.25</v>
      </c>
      <c r="L23" s="61">
        <f t="shared" si="2"/>
        <v>0</v>
      </c>
      <c r="M23" s="61">
        <f t="shared" si="3"/>
        <v>78.25</v>
      </c>
    </row>
    <row r="24">
      <c r="A24" s="61"/>
      <c r="B24" s="23"/>
      <c r="C24" s="23"/>
      <c r="D24" s="23"/>
      <c r="E24" s="28"/>
      <c r="F24" s="28"/>
      <c r="G24" s="28"/>
      <c r="H24" s="47"/>
      <c r="I24" s="105"/>
      <c r="J24" s="105"/>
      <c r="K24" s="61">
        <f t="shared" si="1"/>
        <v>0</v>
      </c>
      <c r="L24" s="61">
        <f t="shared" si="2"/>
        <v>0</v>
      </c>
      <c r="M24" s="61">
        <f t="shared" si="3"/>
        <v>0</v>
      </c>
    </row>
    <row r="25">
      <c r="A25" s="32"/>
      <c r="B25" s="23"/>
      <c r="C25" s="23"/>
      <c r="D25" s="23"/>
      <c r="E25" s="28"/>
      <c r="F25" s="28"/>
      <c r="G25" s="28"/>
      <c r="H25" s="105"/>
      <c r="I25" s="105"/>
      <c r="J25" s="105"/>
      <c r="K25" s="61">
        <f t="shared" si="1"/>
        <v>0</v>
      </c>
      <c r="L25" s="61">
        <f t="shared" si="2"/>
        <v>0</v>
      </c>
      <c r="M25" s="61">
        <f t="shared" si="3"/>
        <v>0</v>
      </c>
    </row>
    <row r="26">
      <c r="A26" s="32"/>
      <c r="B26" s="108"/>
      <c r="C26" s="108"/>
      <c r="D26" s="108"/>
      <c r="E26" s="28"/>
      <c r="F26" s="28"/>
      <c r="G26" s="28"/>
      <c r="H26" s="112"/>
      <c r="I26" s="114"/>
      <c r="J26" s="114"/>
      <c r="K26" s="61">
        <f t="shared" si="1"/>
        <v>0</v>
      </c>
      <c r="L26" s="61">
        <f t="shared" si="2"/>
        <v>0</v>
      </c>
      <c r="M26" s="61">
        <f t="shared" si="3"/>
        <v>0</v>
      </c>
    </row>
    <row r="27">
      <c r="A27" s="61"/>
      <c r="B27" s="23"/>
      <c r="C27" s="23"/>
      <c r="D27" s="23"/>
      <c r="E27" s="28"/>
      <c r="F27" s="28"/>
      <c r="G27" s="28"/>
      <c r="H27" s="101"/>
      <c r="I27" s="105"/>
      <c r="J27" s="105"/>
      <c r="K27" s="61">
        <f t="shared" si="1"/>
        <v>0</v>
      </c>
      <c r="L27" s="61">
        <f t="shared" si="2"/>
        <v>0</v>
      </c>
      <c r="M27" s="61">
        <f t="shared" si="3"/>
        <v>0</v>
      </c>
    </row>
    <row r="28">
      <c r="A28" s="61"/>
      <c r="B28" s="23"/>
      <c r="C28" s="23"/>
      <c r="D28" s="23"/>
      <c r="E28" s="28"/>
      <c r="F28" s="28"/>
      <c r="G28" s="28"/>
      <c r="H28" s="101"/>
      <c r="I28" s="105"/>
      <c r="J28" s="105"/>
      <c r="K28" s="61">
        <f t="shared" si="1"/>
        <v>0</v>
      </c>
      <c r="L28" s="61">
        <f t="shared" si="2"/>
        <v>0</v>
      </c>
      <c r="M28" s="61">
        <f t="shared" si="3"/>
        <v>0</v>
      </c>
    </row>
    <row r="29">
      <c r="A29" s="32"/>
      <c r="B29" s="108"/>
      <c r="C29" s="108"/>
      <c r="D29" s="108"/>
      <c r="E29" s="28"/>
      <c r="F29" s="28"/>
      <c r="G29" s="28"/>
      <c r="H29" s="114"/>
      <c r="I29" s="114"/>
      <c r="J29" s="114"/>
      <c r="K29" s="61">
        <f t="shared" si="1"/>
        <v>0</v>
      </c>
      <c r="L29" s="61">
        <f t="shared" si="2"/>
        <v>0</v>
      </c>
      <c r="M29" s="61">
        <f t="shared" si="3"/>
        <v>0</v>
      </c>
    </row>
    <row r="30">
      <c r="A30" s="61"/>
      <c r="B30" s="108"/>
      <c r="C30" s="108"/>
      <c r="D30" s="108"/>
      <c r="E30" s="28"/>
      <c r="F30" s="28"/>
      <c r="G30" s="28"/>
      <c r="H30" s="112"/>
      <c r="I30" s="114"/>
      <c r="J30" s="114"/>
      <c r="K30" s="61">
        <f t="shared" si="1"/>
        <v>0</v>
      </c>
      <c r="L30" s="61">
        <f t="shared" si="2"/>
        <v>0</v>
      </c>
      <c r="M30" s="61">
        <f t="shared" si="3"/>
        <v>0</v>
      </c>
    </row>
    <row r="31">
      <c r="A31" s="32"/>
      <c r="B31" s="115"/>
      <c r="C31" s="115"/>
      <c r="D31" s="115"/>
      <c r="E31" s="118"/>
      <c r="F31" s="118"/>
      <c r="G31" s="118"/>
      <c r="H31" s="119"/>
      <c r="I31" s="119"/>
      <c r="J31" s="119"/>
      <c r="K31" s="61">
        <f t="shared" si="1"/>
        <v>0</v>
      </c>
      <c r="L31" s="61">
        <f t="shared" si="2"/>
        <v>0</v>
      </c>
      <c r="M31" s="61">
        <f t="shared" si="3"/>
        <v>0</v>
      </c>
    </row>
    <row r="32">
      <c r="A32" s="32"/>
      <c r="B32" s="23"/>
      <c r="C32" s="23"/>
      <c r="D32" s="23"/>
      <c r="E32" s="28"/>
      <c r="F32" s="28"/>
      <c r="G32" s="28"/>
      <c r="H32" s="101"/>
      <c r="I32" s="105"/>
      <c r="J32" s="105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61"/>
      <c r="B33" s="23"/>
      <c r="C33" s="23"/>
      <c r="D33" s="23"/>
      <c r="E33" s="28"/>
      <c r="F33" s="28"/>
      <c r="G33" s="28"/>
      <c r="H33" s="101"/>
      <c r="I33" s="105"/>
      <c r="J33" s="105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61"/>
      <c r="B34" s="115"/>
      <c r="C34" s="115"/>
      <c r="D34" s="115"/>
      <c r="E34" s="118"/>
      <c r="F34" s="120"/>
      <c r="G34" s="120"/>
      <c r="H34" s="119"/>
      <c r="I34" s="119"/>
      <c r="J34" s="119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47"/>
      <c r="I35" s="105"/>
      <c r="J35" s="105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61"/>
      <c r="B36" s="108"/>
      <c r="C36" s="108"/>
      <c r="D36" s="108"/>
      <c r="E36" s="28"/>
      <c r="F36" s="28"/>
      <c r="G36" s="28"/>
      <c r="H36" s="114"/>
      <c r="I36" s="114"/>
      <c r="J36" s="114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108"/>
      <c r="C37" s="108"/>
      <c r="D37" s="108"/>
      <c r="E37" s="28"/>
      <c r="F37" s="28"/>
      <c r="G37" s="28"/>
      <c r="H37" s="114"/>
      <c r="I37" s="114"/>
      <c r="J37" s="114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32"/>
      <c r="B38" s="31"/>
      <c r="C38" s="31"/>
      <c r="D38" s="31"/>
      <c r="E38" s="28"/>
      <c r="F38" s="28"/>
      <c r="G38" s="28"/>
      <c r="H38" s="112"/>
      <c r="I38" s="114"/>
      <c r="J38" s="114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32"/>
      <c r="B39" s="115"/>
      <c r="C39" s="115"/>
      <c r="D39" s="115"/>
      <c r="E39" s="118"/>
      <c r="F39" s="120"/>
      <c r="G39" s="120"/>
      <c r="H39" s="119"/>
      <c r="I39" s="119"/>
      <c r="J39" s="119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4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32"/>
      <c r="B41" s="31"/>
      <c r="C41" s="31"/>
      <c r="D41" s="31"/>
      <c r="E41" s="28"/>
      <c r="F41" s="28"/>
      <c r="G41" s="28"/>
      <c r="H41" s="112"/>
      <c r="I41" s="114"/>
      <c r="J41" s="114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61"/>
      <c r="B42" s="23"/>
      <c r="C42" s="23"/>
      <c r="D42" s="23"/>
      <c r="E42" s="28"/>
      <c r="F42" s="28"/>
      <c r="G42" s="28"/>
      <c r="H42" s="105"/>
      <c r="I42" s="105"/>
      <c r="J42" s="105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61"/>
      <c r="B43" s="108"/>
      <c r="C43" s="121"/>
      <c r="D43" s="121"/>
      <c r="E43" s="28"/>
      <c r="F43" s="28"/>
      <c r="G43" s="28"/>
      <c r="H43" s="114"/>
      <c r="I43" s="114"/>
      <c r="J43" s="114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61"/>
      <c r="B44" s="115"/>
      <c r="C44" s="115"/>
      <c r="D44" s="115"/>
      <c r="E44" s="118"/>
      <c r="F44" s="120"/>
      <c r="G44" s="120"/>
      <c r="H44" s="119"/>
      <c r="I44" s="119"/>
      <c r="J44" s="119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32"/>
      <c r="B45" s="23"/>
      <c r="C45" s="23"/>
      <c r="D45" s="23"/>
      <c r="E45" s="28"/>
      <c r="F45" s="28"/>
      <c r="G45" s="28"/>
      <c r="H45" s="105"/>
      <c r="I45" s="105"/>
      <c r="J45" s="105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32"/>
      <c r="B46" s="115"/>
      <c r="C46" s="115"/>
      <c r="D46" s="115"/>
      <c r="E46" s="118"/>
      <c r="F46" s="120"/>
      <c r="G46" s="120"/>
      <c r="H46" s="119"/>
      <c r="I46" s="119"/>
      <c r="J46" s="119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08"/>
      <c r="C47" s="108"/>
      <c r="D47" s="108"/>
      <c r="E47" s="28"/>
      <c r="F47" s="28"/>
      <c r="G47" s="28"/>
      <c r="H47" s="114"/>
      <c r="I47" s="114"/>
      <c r="J47" s="114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32"/>
      <c r="B48" s="31"/>
      <c r="C48" s="31"/>
      <c r="D48" s="31"/>
      <c r="E48" s="28"/>
      <c r="F48" s="28"/>
      <c r="G48" s="28"/>
      <c r="H48" s="112"/>
      <c r="I48" s="114"/>
      <c r="J48" s="114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61"/>
      <c r="B49" s="23"/>
      <c r="C49" s="23"/>
      <c r="D49" s="23"/>
      <c r="E49" s="28"/>
      <c r="F49" s="28"/>
      <c r="G49" s="28"/>
      <c r="H49" s="105"/>
      <c r="I49" s="105"/>
      <c r="J49" s="105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32"/>
      <c r="B50" s="108"/>
      <c r="C50" s="108"/>
      <c r="D50" s="108"/>
      <c r="E50" s="28"/>
      <c r="F50" s="28"/>
      <c r="G50" s="28"/>
      <c r="H50" s="112"/>
      <c r="I50" s="114"/>
      <c r="J50" s="114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61"/>
      <c r="B51" s="23"/>
      <c r="C51" s="23"/>
      <c r="D51" s="23"/>
      <c r="E51" s="28"/>
      <c r="F51" s="28"/>
      <c r="G51" s="28"/>
      <c r="H51" s="105"/>
      <c r="I51" s="105"/>
      <c r="J51" s="105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32"/>
      <c r="B52" s="31"/>
      <c r="C52" s="31"/>
      <c r="D52" s="31"/>
      <c r="E52" s="28"/>
      <c r="F52" s="28"/>
      <c r="G52" s="28"/>
      <c r="H52" s="112"/>
      <c r="I52" s="114"/>
      <c r="J52" s="114"/>
      <c r="K52" s="61">
        <f t="shared" si="1"/>
        <v>0</v>
      </c>
      <c r="L52" s="61">
        <f t="shared" si="2"/>
        <v>0</v>
      </c>
      <c r="M52" s="61">
        <f t="shared" si="3"/>
        <v>0</v>
      </c>
    </row>
  </sheetData>
  <autoFilter ref="$A$4:$M$52">
    <sortState ref="A4:M52">
      <sortCondition descending="1" ref="M4:M52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180</v>
      </c>
      <c r="C5" s="23" t="s">
        <v>42</v>
      </c>
      <c r="D5" s="23" t="s">
        <v>34</v>
      </c>
      <c r="E5" s="28">
        <v>577.0</v>
      </c>
      <c r="F5" s="28">
        <v>4.0</v>
      </c>
      <c r="G5" s="28">
        <v>40.0</v>
      </c>
      <c r="H5" s="29"/>
      <c r="I5" s="17"/>
      <c r="J5" s="17"/>
      <c r="K5" s="61">
        <f t="shared" ref="K5:K56" si="1">(H5+E5)/4</f>
        <v>144.25</v>
      </c>
      <c r="L5" s="61">
        <f t="shared" ref="L5:L56" si="2">J5+G5</f>
        <v>40</v>
      </c>
      <c r="M5" s="61">
        <f t="shared" ref="M5:M56" si="3">K5+L5</f>
        <v>184.25</v>
      </c>
    </row>
    <row r="6">
      <c r="A6" s="32"/>
      <c r="B6" s="23" t="s">
        <v>172</v>
      </c>
      <c r="C6" s="23" t="s">
        <v>18</v>
      </c>
      <c r="D6" s="23" t="s">
        <v>233</v>
      </c>
      <c r="E6" s="28">
        <v>623.0</v>
      </c>
      <c r="F6" s="28"/>
      <c r="G6" s="28"/>
      <c r="H6" s="29"/>
      <c r="I6" s="45"/>
      <c r="J6" s="45"/>
      <c r="K6" s="61">
        <f t="shared" si="1"/>
        <v>155.75</v>
      </c>
      <c r="L6" s="61">
        <f t="shared" si="2"/>
        <v>0</v>
      </c>
      <c r="M6" s="61">
        <f t="shared" si="3"/>
        <v>155.75</v>
      </c>
    </row>
    <row r="7">
      <c r="A7" s="32"/>
      <c r="B7" s="23" t="s">
        <v>193</v>
      </c>
      <c r="C7" s="23" t="s">
        <v>15</v>
      </c>
      <c r="D7" s="23"/>
      <c r="E7" s="28">
        <v>597.0</v>
      </c>
      <c r="F7" s="28">
        <v>8.0</v>
      </c>
      <c r="G7" s="28">
        <v>5.0</v>
      </c>
      <c r="H7" s="29"/>
      <c r="I7" s="105"/>
      <c r="J7" s="105"/>
      <c r="K7" s="61">
        <f t="shared" si="1"/>
        <v>149.25</v>
      </c>
      <c r="L7" s="61">
        <f t="shared" si="2"/>
        <v>5</v>
      </c>
      <c r="M7" s="61">
        <f t="shared" si="3"/>
        <v>154.25</v>
      </c>
    </row>
    <row r="8">
      <c r="A8" s="32"/>
      <c r="B8" s="23" t="s">
        <v>188</v>
      </c>
      <c r="C8" s="23" t="s">
        <v>32</v>
      </c>
      <c r="D8" s="23" t="s">
        <v>21</v>
      </c>
      <c r="E8" s="123">
        <v>605.0</v>
      </c>
      <c r="F8" s="28"/>
      <c r="G8" s="28"/>
      <c r="H8" s="29"/>
      <c r="I8" s="105"/>
      <c r="J8" s="105"/>
      <c r="K8" s="61">
        <f t="shared" si="1"/>
        <v>151.25</v>
      </c>
      <c r="L8" s="61">
        <f t="shared" si="2"/>
        <v>0</v>
      </c>
      <c r="M8" s="61">
        <f t="shared" si="3"/>
        <v>151.25</v>
      </c>
    </row>
    <row r="9">
      <c r="A9" s="32"/>
      <c r="B9" s="23" t="s">
        <v>191</v>
      </c>
      <c r="C9" s="23" t="s">
        <v>15</v>
      </c>
      <c r="D9" s="23"/>
      <c r="E9" s="28">
        <v>599.0</v>
      </c>
      <c r="F9" s="28"/>
      <c r="G9" s="28"/>
      <c r="H9" s="101"/>
      <c r="I9" s="101"/>
      <c r="J9" s="101"/>
      <c r="K9" s="61">
        <f t="shared" si="1"/>
        <v>149.75</v>
      </c>
      <c r="L9" s="61">
        <f t="shared" si="2"/>
        <v>0</v>
      </c>
      <c r="M9" s="61">
        <f t="shared" si="3"/>
        <v>149.75</v>
      </c>
    </row>
    <row r="10">
      <c r="A10" s="32"/>
      <c r="B10" s="23" t="s">
        <v>187</v>
      </c>
      <c r="C10" s="23" t="s">
        <v>39</v>
      </c>
      <c r="D10" s="23"/>
      <c r="E10" s="28">
        <v>596.0</v>
      </c>
      <c r="F10" s="28"/>
      <c r="G10" s="28"/>
      <c r="H10" s="101"/>
      <c r="I10" s="105"/>
      <c r="J10" s="105"/>
      <c r="K10" s="61">
        <f t="shared" si="1"/>
        <v>149</v>
      </c>
      <c r="L10" s="61">
        <f t="shared" si="2"/>
        <v>0</v>
      </c>
      <c r="M10" s="61">
        <f t="shared" si="3"/>
        <v>149</v>
      </c>
    </row>
    <row r="11">
      <c r="A11" s="61"/>
      <c r="B11" s="108" t="s">
        <v>229</v>
      </c>
      <c r="C11" s="108" t="s">
        <v>32</v>
      </c>
      <c r="D11" s="108" t="s">
        <v>21</v>
      </c>
      <c r="E11" s="28">
        <v>578.0</v>
      </c>
      <c r="F11" s="28"/>
      <c r="G11" s="28"/>
      <c r="H11" s="112"/>
      <c r="I11" s="112"/>
      <c r="J11" s="112"/>
      <c r="K11" s="61">
        <f t="shared" si="1"/>
        <v>144.5</v>
      </c>
      <c r="L11" s="61">
        <f t="shared" si="2"/>
        <v>0</v>
      </c>
      <c r="M11" s="61">
        <f t="shared" si="3"/>
        <v>144.5</v>
      </c>
    </row>
    <row r="12">
      <c r="A12" s="61"/>
      <c r="B12" s="23" t="s">
        <v>184</v>
      </c>
      <c r="C12" s="23" t="s">
        <v>42</v>
      </c>
      <c r="D12" s="23"/>
      <c r="E12" s="28">
        <v>571.0</v>
      </c>
      <c r="F12" s="28"/>
      <c r="G12" s="28"/>
      <c r="H12" s="101"/>
      <c r="I12" s="105"/>
      <c r="J12" s="105"/>
      <c r="K12" s="61">
        <f t="shared" si="1"/>
        <v>142.75</v>
      </c>
      <c r="L12" s="61">
        <f t="shared" si="2"/>
        <v>0</v>
      </c>
      <c r="M12" s="61">
        <f t="shared" si="3"/>
        <v>142.75</v>
      </c>
    </row>
    <row r="13">
      <c r="A13" s="32"/>
      <c r="B13" s="23" t="s">
        <v>108</v>
      </c>
      <c r="C13" s="23" t="s">
        <v>42</v>
      </c>
      <c r="D13" s="23"/>
      <c r="E13" s="28">
        <v>570.0</v>
      </c>
      <c r="F13" s="28"/>
      <c r="G13" s="28"/>
      <c r="H13" s="29"/>
      <c r="I13" s="101"/>
      <c r="J13" s="101"/>
      <c r="K13" s="61">
        <f t="shared" si="1"/>
        <v>142.5</v>
      </c>
      <c r="L13" s="61">
        <f t="shared" si="2"/>
        <v>0</v>
      </c>
      <c r="M13" s="61">
        <f t="shared" si="3"/>
        <v>142.5</v>
      </c>
    </row>
    <row r="14">
      <c r="A14" s="32"/>
      <c r="B14" s="23" t="s">
        <v>185</v>
      </c>
      <c r="C14" s="23" t="s">
        <v>18</v>
      </c>
      <c r="D14" s="23" t="s">
        <v>40</v>
      </c>
      <c r="E14" s="28">
        <v>566.0</v>
      </c>
      <c r="F14" s="28"/>
      <c r="G14" s="28"/>
      <c r="H14" s="29"/>
      <c r="I14" s="17"/>
      <c r="J14" s="17"/>
      <c r="K14" s="61">
        <f t="shared" si="1"/>
        <v>141.5</v>
      </c>
      <c r="L14" s="61">
        <f t="shared" si="2"/>
        <v>0</v>
      </c>
      <c r="M14" s="61">
        <f t="shared" si="3"/>
        <v>141.5</v>
      </c>
    </row>
    <row r="15">
      <c r="A15" s="61"/>
      <c r="B15" s="23" t="s">
        <v>190</v>
      </c>
      <c r="C15" s="23" t="s">
        <v>18</v>
      </c>
      <c r="D15" s="23" t="s">
        <v>40</v>
      </c>
      <c r="E15" s="28">
        <v>565.0</v>
      </c>
      <c r="F15" s="28"/>
      <c r="G15" s="28"/>
      <c r="H15" s="29"/>
      <c r="I15" s="105"/>
      <c r="J15" s="105"/>
      <c r="K15" s="61">
        <f t="shared" si="1"/>
        <v>141.25</v>
      </c>
      <c r="L15" s="61">
        <f t="shared" si="2"/>
        <v>0</v>
      </c>
      <c r="M15" s="61">
        <f t="shared" si="3"/>
        <v>141.25</v>
      </c>
    </row>
    <row r="16">
      <c r="A16" s="32"/>
      <c r="B16" s="23" t="s">
        <v>116</v>
      </c>
      <c r="C16" s="23" t="s">
        <v>32</v>
      </c>
      <c r="D16" s="23"/>
      <c r="E16" s="113">
        <v>565.0</v>
      </c>
      <c r="F16" s="28"/>
      <c r="G16" s="28"/>
      <c r="H16" s="47"/>
      <c r="I16" s="17"/>
      <c r="J16" s="17"/>
      <c r="K16" s="61">
        <f t="shared" si="1"/>
        <v>141.25</v>
      </c>
      <c r="L16" s="61">
        <f t="shared" si="2"/>
        <v>0</v>
      </c>
      <c r="M16" s="61">
        <f t="shared" si="3"/>
        <v>141.25</v>
      </c>
    </row>
    <row r="17">
      <c r="A17" s="61"/>
      <c r="B17" s="23" t="s">
        <v>192</v>
      </c>
      <c r="C17" s="23" t="s">
        <v>67</v>
      </c>
      <c r="D17" s="23" t="s">
        <v>34</v>
      </c>
      <c r="E17" s="28">
        <v>546.0</v>
      </c>
      <c r="F17" s="28"/>
      <c r="G17" s="28"/>
      <c r="H17" s="101"/>
      <c r="I17" s="105"/>
      <c r="J17" s="105"/>
      <c r="K17" s="61">
        <f t="shared" si="1"/>
        <v>136.5</v>
      </c>
      <c r="L17" s="61">
        <f t="shared" si="2"/>
        <v>0</v>
      </c>
      <c r="M17" s="61">
        <f t="shared" si="3"/>
        <v>136.5</v>
      </c>
    </row>
    <row r="18">
      <c r="A18" s="61"/>
      <c r="B18" s="23" t="s">
        <v>183</v>
      </c>
      <c r="C18" s="23" t="s">
        <v>51</v>
      </c>
      <c r="D18" s="23"/>
      <c r="E18" s="28">
        <v>528.0</v>
      </c>
      <c r="F18" s="28"/>
      <c r="G18" s="28"/>
      <c r="H18" s="101"/>
      <c r="I18" s="105"/>
      <c r="J18" s="105"/>
      <c r="K18" s="61">
        <f t="shared" si="1"/>
        <v>132</v>
      </c>
      <c r="L18" s="61">
        <f t="shared" si="2"/>
        <v>0</v>
      </c>
      <c r="M18" s="61">
        <f t="shared" si="3"/>
        <v>132</v>
      </c>
    </row>
    <row r="19">
      <c r="A19" s="61"/>
      <c r="B19" s="23" t="s">
        <v>197</v>
      </c>
      <c r="C19" s="23" t="s">
        <v>39</v>
      </c>
      <c r="D19" s="23"/>
      <c r="E19" s="28">
        <v>525.0</v>
      </c>
      <c r="F19" s="28"/>
      <c r="G19" s="28"/>
      <c r="H19" s="101"/>
      <c r="I19" s="105"/>
      <c r="J19" s="105"/>
      <c r="K19" s="61">
        <f t="shared" si="1"/>
        <v>131.25</v>
      </c>
      <c r="L19" s="61">
        <f t="shared" si="2"/>
        <v>0</v>
      </c>
      <c r="M19" s="61">
        <f t="shared" si="3"/>
        <v>131.25</v>
      </c>
    </row>
    <row r="20">
      <c r="A20" s="61"/>
      <c r="B20" s="23" t="s">
        <v>177</v>
      </c>
      <c r="C20" s="23" t="s">
        <v>36</v>
      </c>
      <c r="D20" s="23"/>
      <c r="E20" s="28">
        <v>509.0</v>
      </c>
      <c r="F20" s="28"/>
      <c r="G20" s="28"/>
      <c r="H20" s="29"/>
      <c r="I20" s="105"/>
      <c r="J20" s="105"/>
      <c r="K20" s="61">
        <f t="shared" si="1"/>
        <v>127.25</v>
      </c>
      <c r="L20" s="61">
        <f t="shared" si="2"/>
        <v>0</v>
      </c>
      <c r="M20" s="61">
        <f t="shared" si="3"/>
        <v>127.25</v>
      </c>
    </row>
    <row r="21">
      <c r="A21" s="32"/>
      <c r="B21" s="23" t="s">
        <v>105</v>
      </c>
      <c r="C21" s="23" t="s">
        <v>67</v>
      </c>
      <c r="D21" s="23" t="s">
        <v>34</v>
      </c>
      <c r="E21" s="28">
        <v>507.0</v>
      </c>
      <c r="F21" s="28"/>
      <c r="G21" s="28"/>
      <c r="H21" s="29"/>
      <c r="I21" s="17"/>
      <c r="J21" s="17"/>
      <c r="K21" s="61">
        <f t="shared" si="1"/>
        <v>126.75</v>
      </c>
      <c r="L21" s="61">
        <f t="shared" si="2"/>
        <v>0</v>
      </c>
      <c r="M21" s="61">
        <f t="shared" si="3"/>
        <v>126.75</v>
      </c>
    </row>
    <row r="22">
      <c r="A22" s="32"/>
      <c r="B22" s="108" t="s">
        <v>234</v>
      </c>
      <c r="C22" s="108" t="s">
        <v>36</v>
      </c>
      <c r="D22" s="23"/>
      <c r="E22" s="28">
        <v>490.0</v>
      </c>
      <c r="F22" s="28"/>
      <c r="G22" s="28"/>
      <c r="H22" s="112"/>
      <c r="I22" s="114"/>
      <c r="J22" s="114"/>
      <c r="K22" s="61">
        <f t="shared" si="1"/>
        <v>122.5</v>
      </c>
      <c r="L22" s="61">
        <f t="shared" si="2"/>
        <v>0</v>
      </c>
      <c r="M22" s="61">
        <f t="shared" si="3"/>
        <v>122.5</v>
      </c>
    </row>
    <row r="23">
      <c r="A23" s="32"/>
      <c r="B23" s="23" t="s">
        <v>189</v>
      </c>
      <c r="C23" s="23" t="s">
        <v>39</v>
      </c>
      <c r="D23" s="23"/>
      <c r="E23" s="28">
        <v>486.0</v>
      </c>
      <c r="F23" s="28"/>
      <c r="G23" s="28"/>
      <c r="H23" s="101"/>
      <c r="I23" s="105"/>
      <c r="J23" s="105"/>
      <c r="K23" s="61">
        <f t="shared" si="1"/>
        <v>121.5</v>
      </c>
      <c r="L23" s="61">
        <f t="shared" si="2"/>
        <v>0</v>
      </c>
      <c r="M23" s="61">
        <f t="shared" si="3"/>
        <v>121.5</v>
      </c>
    </row>
    <row r="24">
      <c r="A24" s="61"/>
      <c r="B24" s="23" t="s">
        <v>212</v>
      </c>
      <c r="C24" s="23" t="s">
        <v>168</v>
      </c>
      <c r="D24" s="23"/>
      <c r="E24" s="28">
        <v>459.0</v>
      </c>
      <c r="F24" s="28"/>
      <c r="G24" s="28"/>
      <c r="H24" s="101"/>
      <c r="I24" s="105"/>
      <c r="J24" s="105"/>
      <c r="K24" s="61">
        <f t="shared" si="1"/>
        <v>114.75</v>
      </c>
      <c r="L24" s="61">
        <f t="shared" si="2"/>
        <v>0</v>
      </c>
      <c r="M24" s="61">
        <f t="shared" si="3"/>
        <v>114.75</v>
      </c>
    </row>
    <row r="25">
      <c r="A25" s="32"/>
      <c r="B25" s="108" t="s">
        <v>175</v>
      </c>
      <c r="C25" s="108" t="s">
        <v>36</v>
      </c>
      <c r="D25" s="23"/>
      <c r="E25" s="28">
        <v>456.0</v>
      </c>
      <c r="F25" s="28"/>
      <c r="G25" s="28"/>
      <c r="H25" s="112"/>
      <c r="I25" s="112"/>
      <c r="J25" s="112"/>
      <c r="K25" s="61">
        <f t="shared" si="1"/>
        <v>114</v>
      </c>
      <c r="L25" s="61">
        <f t="shared" si="2"/>
        <v>0</v>
      </c>
      <c r="M25" s="61">
        <f t="shared" si="3"/>
        <v>114</v>
      </c>
    </row>
    <row r="26">
      <c r="A26" s="61"/>
      <c r="B26" s="23" t="s">
        <v>235</v>
      </c>
      <c r="C26" s="23" t="s">
        <v>18</v>
      </c>
      <c r="D26" s="23"/>
      <c r="E26" s="28">
        <v>446.0</v>
      </c>
      <c r="F26" s="28"/>
      <c r="G26" s="28"/>
      <c r="H26" s="105"/>
      <c r="I26" s="105"/>
      <c r="J26" s="105"/>
      <c r="K26" s="61">
        <f t="shared" si="1"/>
        <v>111.5</v>
      </c>
      <c r="L26" s="61">
        <f t="shared" si="2"/>
        <v>0</v>
      </c>
      <c r="M26" s="61">
        <f t="shared" si="3"/>
        <v>111.5</v>
      </c>
    </row>
    <row r="27">
      <c r="A27" s="61"/>
      <c r="B27" s="108" t="s">
        <v>207</v>
      </c>
      <c r="C27" s="108" t="s">
        <v>42</v>
      </c>
      <c r="D27" s="23"/>
      <c r="E27" s="28">
        <v>439.0</v>
      </c>
      <c r="F27" s="28"/>
      <c r="G27" s="28"/>
      <c r="H27" s="112"/>
      <c r="I27" s="114"/>
      <c r="J27" s="114"/>
      <c r="K27" s="61">
        <f t="shared" si="1"/>
        <v>109.75</v>
      </c>
      <c r="L27" s="61">
        <f t="shared" si="2"/>
        <v>0</v>
      </c>
      <c r="M27" s="61">
        <f t="shared" si="3"/>
        <v>109.75</v>
      </c>
    </row>
    <row r="28">
      <c r="A28" s="61"/>
      <c r="B28" s="23" t="s">
        <v>236</v>
      </c>
      <c r="C28" s="23" t="s">
        <v>51</v>
      </c>
      <c r="D28" s="23"/>
      <c r="E28" s="28">
        <v>430.0</v>
      </c>
      <c r="F28" s="28"/>
      <c r="G28" s="28"/>
      <c r="H28" s="47"/>
      <c r="I28" s="105"/>
      <c r="J28" s="105"/>
      <c r="K28" s="61">
        <f t="shared" si="1"/>
        <v>107.5</v>
      </c>
      <c r="L28" s="61">
        <f t="shared" si="2"/>
        <v>0</v>
      </c>
      <c r="M28" s="61">
        <f t="shared" si="3"/>
        <v>107.5</v>
      </c>
    </row>
    <row r="29">
      <c r="A29" s="32"/>
      <c r="B29" s="23" t="s">
        <v>198</v>
      </c>
      <c r="C29" s="23" t="s">
        <v>168</v>
      </c>
      <c r="D29" s="23"/>
      <c r="E29" s="28">
        <v>377.0</v>
      </c>
      <c r="F29" s="28"/>
      <c r="G29" s="28"/>
      <c r="H29" s="105"/>
      <c r="I29" s="105"/>
      <c r="J29" s="105"/>
      <c r="K29" s="61">
        <f t="shared" si="1"/>
        <v>94.25</v>
      </c>
      <c r="L29" s="61">
        <f t="shared" si="2"/>
        <v>0</v>
      </c>
      <c r="M29" s="61">
        <f t="shared" si="3"/>
        <v>94.25</v>
      </c>
    </row>
    <row r="30">
      <c r="A30" s="32"/>
      <c r="B30" s="108" t="s">
        <v>237</v>
      </c>
      <c r="C30" s="108" t="s">
        <v>168</v>
      </c>
      <c r="D30" s="108"/>
      <c r="E30" s="28">
        <v>345.0</v>
      </c>
      <c r="F30" s="28"/>
      <c r="G30" s="28"/>
      <c r="H30" s="112"/>
      <c r="I30" s="114"/>
      <c r="J30" s="114"/>
      <c r="K30" s="61">
        <f t="shared" si="1"/>
        <v>86.25</v>
      </c>
      <c r="L30" s="61">
        <f t="shared" si="2"/>
        <v>0</v>
      </c>
      <c r="M30" s="61">
        <f t="shared" si="3"/>
        <v>86.25</v>
      </c>
    </row>
    <row r="31">
      <c r="A31" s="61"/>
      <c r="B31" s="23" t="s">
        <v>238</v>
      </c>
      <c r="C31" s="23" t="s">
        <v>168</v>
      </c>
      <c r="D31" s="23"/>
      <c r="E31" s="28">
        <v>150.0</v>
      </c>
      <c r="F31" s="28"/>
      <c r="G31" s="28"/>
      <c r="H31" s="101"/>
      <c r="I31" s="105"/>
      <c r="J31" s="105"/>
      <c r="K31" s="61">
        <f t="shared" si="1"/>
        <v>37.5</v>
      </c>
      <c r="L31" s="61">
        <f t="shared" si="2"/>
        <v>0</v>
      </c>
      <c r="M31" s="61">
        <f t="shared" si="3"/>
        <v>37.5</v>
      </c>
    </row>
    <row r="32">
      <c r="A32" s="61"/>
      <c r="B32" s="23"/>
      <c r="C32" s="23"/>
      <c r="D32" s="23"/>
      <c r="E32" s="28"/>
      <c r="F32" s="28"/>
      <c r="G32" s="28"/>
      <c r="H32" s="101"/>
      <c r="I32" s="105"/>
      <c r="J32" s="105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32"/>
      <c r="B33" s="108"/>
      <c r="C33" s="108"/>
      <c r="D33" s="108"/>
      <c r="E33" s="28"/>
      <c r="F33" s="28"/>
      <c r="G33" s="28"/>
      <c r="H33" s="114"/>
      <c r="I33" s="114"/>
      <c r="J33" s="114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61"/>
      <c r="B34" s="108"/>
      <c r="C34" s="108"/>
      <c r="D34" s="108"/>
      <c r="E34" s="28"/>
      <c r="F34" s="28"/>
      <c r="G34" s="28"/>
      <c r="H34" s="112"/>
      <c r="I34" s="114"/>
      <c r="J34" s="114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115"/>
      <c r="C35" s="115"/>
      <c r="D35" s="115"/>
      <c r="E35" s="118"/>
      <c r="F35" s="118"/>
      <c r="G35" s="118"/>
      <c r="H35" s="119"/>
      <c r="I35" s="119"/>
      <c r="J35" s="119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32"/>
      <c r="B36" s="23"/>
      <c r="C36" s="23"/>
      <c r="D36" s="23"/>
      <c r="E36" s="28"/>
      <c r="F36" s="28"/>
      <c r="G36" s="28"/>
      <c r="H36" s="101"/>
      <c r="I36" s="105"/>
      <c r="J36" s="105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23"/>
      <c r="C37" s="23"/>
      <c r="D37" s="23"/>
      <c r="E37" s="28"/>
      <c r="F37" s="28"/>
      <c r="G37" s="28"/>
      <c r="H37" s="101"/>
      <c r="I37" s="105"/>
      <c r="J37" s="105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61"/>
      <c r="B38" s="115"/>
      <c r="C38" s="115"/>
      <c r="D38" s="115"/>
      <c r="E38" s="118"/>
      <c r="F38" s="120"/>
      <c r="G38" s="120"/>
      <c r="H38" s="119"/>
      <c r="I38" s="119"/>
      <c r="J38" s="119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32"/>
      <c r="B39" s="23"/>
      <c r="C39" s="23"/>
      <c r="D39" s="23"/>
      <c r="E39" s="28"/>
      <c r="F39" s="28"/>
      <c r="G39" s="28"/>
      <c r="H39" s="47"/>
      <c r="I39" s="105"/>
      <c r="J39" s="105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4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61"/>
      <c r="B41" s="108"/>
      <c r="C41" s="108"/>
      <c r="D41" s="108"/>
      <c r="E41" s="28"/>
      <c r="F41" s="28"/>
      <c r="G41" s="28"/>
      <c r="H41" s="114"/>
      <c r="I41" s="114"/>
      <c r="J41" s="114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32"/>
      <c r="B42" s="31"/>
      <c r="C42" s="31"/>
      <c r="D42" s="31"/>
      <c r="E42" s="28"/>
      <c r="F42" s="28"/>
      <c r="G42" s="28"/>
      <c r="H42" s="112"/>
      <c r="I42" s="114"/>
      <c r="J42" s="114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32"/>
      <c r="B43" s="115"/>
      <c r="C43" s="115"/>
      <c r="D43" s="115"/>
      <c r="E43" s="118"/>
      <c r="F43" s="120"/>
      <c r="G43" s="120"/>
      <c r="H43" s="119"/>
      <c r="I43" s="119"/>
      <c r="J43" s="119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61"/>
      <c r="B44" s="108"/>
      <c r="C44" s="108"/>
      <c r="D44" s="108"/>
      <c r="E44" s="28"/>
      <c r="F44" s="28"/>
      <c r="G44" s="28"/>
      <c r="H44" s="114"/>
      <c r="I44" s="114"/>
      <c r="J44" s="114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32"/>
      <c r="B45" s="31"/>
      <c r="C45" s="31"/>
      <c r="D45" s="31"/>
      <c r="E45" s="28"/>
      <c r="F45" s="28"/>
      <c r="G45" s="28"/>
      <c r="H45" s="112"/>
      <c r="I45" s="114"/>
      <c r="J45" s="114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61"/>
      <c r="B46" s="23"/>
      <c r="C46" s="23"/>
      <c r="D46" s="23"/>
      <c r="E46" s="28"/>
      <c r="F46" s="28"/>
      <c r="G46" s="28"/>
      <c r="H46" s="105"/>
      <c r="I46" s="105"/>
      <c r="J46" s="105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08"/>
      <c r="C47" s="121"/>
      <c r="D47" s="121"/>
      <c r="E47" s="28"/>
      <c r="F47" s="28"/>
      <c r="G47" s="28"/>
      <c r="H47" s="114"/>
      <c r="I47" s="114"/>
      <c r="J47" s="114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61"/>
      <c r="B48" s="115"/>
      <c r="C48" s="115"/>
      <c r="D48" s="115"/>
      <c r="E48" s="118"/>
      <c r="F48" s="120"/>
      <c r="G48" s="120"/>
      <c r="H48" s="119"/>
      <c r="I48" s="119"/>
      <c r="J48" s="119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32"/>
      <c r="B49" s="23"/>
      <c r="C49" s="23"/>
      <c r="D49" s="23"/>
      <c r="E49" s="28"/>
      <c r="F49" s="28"/>
      <c r="G49" s="28"/>
      <c r="H49" s="105"/>
      <c r="I49" s="105"/>
      <c r="J49" s="105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32"/>
      <c r="B50" s="115"/>
      <c r="C50" s="115"/>
      <c r="D50" s="115"/>
      <c r="E50" s="118"/>
      <c r="F50" s="120"/>
      <c r="G50" s="120"/>
      <c r="H50" s="119"/>
      <c r="I50" s="119"/>
      <c r="J50" s="119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61"/>
      <c r="B51" s="108"/>
      <c r="C51" s="108"/>
      <c r="D51" s="108"/>
      <c r="E51" s="28"/>
      <c r="F51" s="28"/>
      <c r="G51" s="28"/>
      <c r="H51" s="114"/>
      <c r="I51" s="114"/>
      <c r="J51" s="114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32"/>
      <c r="B52" s="31"/>
      <c r="C52" s="31"/>
      <c r="D52" s="31"/>
      <c r="E52" s="28"/>
      <c r="F52" s="28"/>
      <c r="G52" s="28"/>
      <c r="H52" s="112"/>
      <c r="I52" s="114"/>
      <c r="J52" s="114"/>
      <c r="K52" s="61">
        <f t="shared" si="1"/>
        <v>0</v>
      </c>
      <c r="L52" s="61">
        <f t="shared" si="2"/>
        <v>0</v>
      </c>
      <c r="M52" s="61">
        <f t="shared" si="3"/>
        <v>0</v>
      </c>
    </row>
    <row r="53">
      <c r="A53" s="61"/>
      <c r="B53" s="23"/>
      <c r="C53" s="23"/>
      <c r="D53" s="23"/>
      <c r="E53" s="28"/>
      <c r="F53" s="28"/>
      <c r="G53" s="28"/>
      <c r="H53" s="105"/>
      <c r="I53" s="105"/>
      <c r="J53" s="105"/>
      <c r="K53" s="61">
        <f t="shared" si="1"/>
        <v>0</v>
      </c>
      <c r="L53" s="61">
        <f t="shared" si="2"/>
        <v>0</v>
      </c>
      <c r="M53" s="61">
        <f t="shared" si="3"/>
        <v>0</v>
      </c>
    </row>
    <row r="54">
      <c r="A54" s="32"/>
      <c r="B54" s="108"/>
      <c r="C54" s="108"/>
      <c r="D54" s="108"/>
      <c r="E54" s="28"/>
      <c r="F54" s="28"/>
      <c r="G54" s="28"/>
      <c r="H54" s="112"/>
      <c r="I54" s="114"/>
      <c r="J54" s="114"/>
      <c r="K54" s="61">
        <f t="shared" si="1"/>
        <v>0</v>
      </c>
      <c r="L54" s="61">
        <f t="shared" si="2"/>
        <v>0</v>
      </c>
      <c r="M54" s="61">
        <f t="shared" si="3"/>
        <v>0</v>
      </c>
    </row>
    <row r="55">
      <c r="A55" s="61"/>
      <c r="B55" s="23"/>
      <c r="C55" s="23"/>
      <c r="D55" s="23"/>
      <c r="E55" s="28"/>
      <c r="F55" s="28"/>
      <c r="G55" s="28"/>
      <c r="H55" s="105"/>
      <c r="I55" s="105"/>
      <c r="J55" s="105"/>
      <c r="K55" s="61">
        <f t="shared" si="1"/>
        <v>0</v>
      </c>
      <c r="L55" s="61">
        <f t="shared" si="2"/>
        <v>0</v>
      </c>
      <c r="M55" s="61">
        <f t="shared" si="3"/>
        <v>0</v>
      </c>
    </row>
    <row r="56">
      <c r="A56" s="32"/>
      <c r="B56" s="31"/>
      <c r="C56" s="31"/>
      <c r="D56" s="31"/>
      <c r="E56" s="28"/>
      <c r="F56" s="28"/>
      <c r="G56" s="28"/>
      <c r="H56" s="112"/>
      <c r="I56" s="114"/>
      <c r="J56" s="114"/>
      <c r="K56" s="61">
        <f t="shared" si="1"/>
        <v>0</v>
      </c>
      <c r="L56" s="61">
        <f t="shared" si="2"/>
        <v>0</v>
      </c>
      <c r="M56" s="61">
        <f t="shared" si="3"/>
        <v>0</v>
      </c>
    </row>
  </sheetData>
  <autoFilter ref="$A$4:$M$56">
    <sortState ref="A4:M56">
      <sortCondition descending="1" ref="M4:M56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4" max="4" width="7.0"/>
    <col customWidth="1" min="5" max="8" width="6.0"/>
    <col customWidth="1" min="9" max="10" width="5.25"/>
  </cols>
  <sheetData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61"/>
      <c r="B5" s="23" t="s">
        <v>144</v>
      </c>
      <c r="C5" s="23" t="s">
        <v>36</v>
      </c>
      <c r="D5" s="23" t="s">
        <v>34</v>
      </c>
      <c r="E5" s="28">
        <v>641.0</v>
      </c>
      <c r="F5" s="28">
        <v>1.0</v>
      </c>
      <c r="G5" s="28">
        <v>70.0</v>
      </c>
      <c r="H5" s="29"/>
      <c r="I5" s="45"/>
      <c r="J5" s="45"/>
      <c r="K5" s="61">
        <f t="shared" ref="K5:K62" si="1">(H5+E5)/4</f>
        <v>160.25</v>
      </c>
      <c r="L5" s="61">
        <f t="shared" ref="L5:L62" si="2">J5+G5</f>
        <v>70</v>
      </c>
      <c r="M5" s="61">
        <f t="shared" ref="M5:M62" si="3">K5+L5</f>
        <v>230.25</v>
      </c>
    </row>
    <row r="6">
      <c r="A6" s="61"/>
      <c r="B6" s="23" t="s">
        <v>239</v>
      </c>
      <c r="C6" s="23" t="s">
        <v>15</v>
      </c>
      <c r="D6" s="23" t="s">
        <v>21</v>
      </c>
      <c r="E6" s="130">
        <v>609.0</v>
      </c>
      <c r="F6" s="130">
        <v>2.0</v>
      </c>
      <c r="G6" s="130">
        <v>60.0</v>
      </c>
      <c r="H6" s="29"/>
      <c r="I6" s="45"/>
      <c r="J6" s="45"/>
      <c r="K6" s="61">
        <f t="shared" si="1"/>
        <v>152.25</v>
      </c>
      <c r="L6" s="61">
        <f t="shared" si="2"/>
        <v>60</v>
      </c>
      <c r="M6" s="61">
        <f t="shared" si="3"/>
        <v>212.25</v>
      </c>
    </row>
    <row r="7">
      <c r="A7" s="32"/>
      <c r="B7" s="23" t="s">
        <v>240</v>
      </c>
      <c r="C7" s="23" t="s">
        <v>15</v>
      </c>
      <c r="D7" s="23" t="s">
        <v>21</v>
      </c>
      <c r="E7" s="28">
        <v>634.0</v>
      </c>
      <c r="F7" s="28">
        <v>3.0</v>
      </c>
      <c r="G7" s="28">
        <v>50.0</v>
      </c>
      <c r="H7" s="29"/>
      <c r="I7" s="101"/>
      <c r="J7" s="101"/>
      <c r="K7" s="61">
        <f t="shared" si="1"/>
        <v>158.5</v>
      </c>
      <c r="L7" s="61">
        <f t="shared" si="2"/>
        <v>50</v>
      </c>
      <c r="M7" s="61">
        <f t="shared" si="3"/>
        <v>208.5</v>
      </c>
    </row>
    <row r="8">
      <c r="A8" s="32"/>
      <c r="B8" s="23" t="s">
        <v>241</v>
      </c>
      <c r="C8" s="23" t="s">
        <v>15</v>
      </c>
      <c r="D8" s="23" t="s">
        <v>21</v>
      </c>
      <c r="E8" s="28">
        <v>607.0</v>
      </c>
      <c r="F8" s="28">
        <v>4.0</v>
      </c>
      <c r="G8" s="28">
        <v>40.0</v>
      </c>
      <c r="H8" s="29"/>
      <c r="I8" s="45"/>
      <c r="J8" s="45"/>
      <c r="K8" s="61">
        <f t="shared" si="1"/>
        <v>151.75</v>
      </c>
      <c r="L8" s="61">
        <f t="shared" si="2"/>
        <v>40</v>
      </c>
      <c r="M8" s="61">
        <f t="shared" si="3"/>
        <v>191.75</v>
      </c>
    </row>
    <row r="9">
      <c r="A9" s="32"/>
      <c r="B9" s="23" t="s">
        <v>242</v>
      </c>
      <c r="C9" s="23" t="s">
        <v>39</v>
      </c>
      <c r="D9" s="23" t="s">
        <v>40</v>
      </c>
      <c r="E9" s="123">
        <v>591.0</v>
      </c>
      <c r="F9" s="28">
        <v>5.0</v>
      </c>
      <c r="G9" s="28">
        <v>30.0</v>
      </c>
      <c r="H9" s="29"/>
      <c r="I9" s="105"/>
      <c r="J9" s="105"/>
      <c r="K9" s="61">
        <f t="shared" si="1"/>
        <v>147.75</v>
      </c>
      <c r="L9" s="61">
        <f t="shared" si="2"/>
        <v>30</v>
      </c>
      <c r="M9" s="61">
        <f t="shared" si="3"/>
        <v>177.75</v>
      </c>
    </row>
    <row r="10">
      <c r="A10" s="61"/>
      <c r="B10" s="23" t="s">
        <v>243</v>
      </c>
      <c r="C10" s="23" t="s">
        <v>15</v>
      </c>
      <c r="D10" s="23"/>
      <c r="E10" s="104">
        <v>595.0</v>
      </c>
      <c r="F10" s="28">
        <v>6.0</v>
      </c>
      <c r="G10" s="28">
        <v>20.0</v>
      </c>
      <c r="H10" s="101"/>
      <c r="I10" s="105"/>
      <c r="J10" s="105"/>
      <c r="K10" s="61">
        <f t="shared" si="1"/>
        <v>148.75</v>
      </c>
      <c r="L10" s="61">
        <f t="shared" si="2"/>
        <v>20</v>
      </c>
      <c r="M10" s="61">
        <f t="shared" si="3"/>
        <v>168.75</v>
      </c>
    </row>
    <row r="11">
      <c r="A11" s="32"/>
      <c r="B11" s="23" t="s">
        <v>244</v>
      </c>
      <c r="C11" s="23" t="s">
        <v>48</v>
      </c>
      <c r="D11" s="23"/>
      <c r="E11" s="28">
        <v>508.0</v>
      </c>
      <c r="F11" s="28">
        <v>8.0</v>
      </c>
      <c r="G11" s="28">
        <v>5.0</v>
      </c>
      <c r="H11" s="101"/>
      <c r="I11" s="101"/>
      <c r="J11" s="101"/>
      <c r="K11" s="61">
        <f t="shared" si="1"/>
        <v>127</v>
      </c>
      <c r="L11" s="61">
        <f t="shared" si="2"/>
        <v>5</v>
      </c>
      <c r="M11" s="61">
        <f t="shared" si="3"/>
        <v>132</v>
      </c>
    </row>
    <row r="12">
      <c r="A12" s="61"/>
      <c r="B12" s="23" t="s">
        <v>245</v>
      </c>
      <c r="C12" s="23" t="s">
        <v>18</v>
      </c>
      <c r="D12" s="23" t="s">
        <v>34</v>
      </c>
      <c r="E12" s="28">
        <v>517.0</v>
      </c>
      <c r="F12" s="28"/>
      <c r="G12" s="28"/>
      <c r="H12" s="29"/>
      <c r="I12" s="105"/>
      <c r="J12" s="105"/>
      <c r="K12" s="61">
        <f t="shared" si="1"/>
        <v>129.25</v>
      </c>
      <c r="L12" s="61">
        <f t="shared" si="2"/>
        <v>0</v>
      </c>
      <c r="M12" s="61">
        <f t="shared" si="3"/>
        <v>129.25</v>
      </c>
    </row>
    <row r="13">
      <c r="A13" s="32"/>
      <c r="B13" s="23" t="s">
        <v>246</v>
      </c>
      <c r="C13" s="23" t="s">
        <v>36</v>
      </c>
      <c r="D13" s="23"/>
      <c r="E13" s="28">
        <v>476.0</v>
      </c>
      <c r="F13" s="28">
        <v>7.0</v>
      </c>
      <c r="G13" s="28">
        <v>10.0</v>
      </c>
      <c r="H13" s="101"/>
      <c r="I13" s="105"/>
      <c r="J13" s="105"/>
      <c r="K13" s="61">
        <f t="shared" si="1"/>
        <v>119</v>
      </c>
      <c r="L13" s="61">
        <f t="shared" si="2"/>
        <v>10</v>
      </c>
      <c r="M13" s="61">
        <f t="shared" si="3"/>
        <v>129</v>
      </c>
    </row>
    <row r="14">
      <c r="A14" s="32"/>
      <c r="B14" s="23" t="s">
        <v>247</v>
      </c>
      <c r="C14" s="23" t="s">
        <v>18</v>
      </c>
      <c r="D14" s="23" t="s">
        <v>34</v>
      </c>
      <c r="E14" s="28">
        <v>477.0</v>
      </c>
      <c r="F14" s="28"/>
      <c r="G14" s="28"/>
      <c r="H14" s="29"/>
      <c r="I14" s="105"/>
      <c r="J14" s="105"/>
      <c r="K14" s="61">
        <f t="shared" si="1"/>
        <v>119.25</v>
      </c>
      <c r="L14" s="61">
        <f t="shared" si="2"/>
        <v>0</v>
      </c>
      <c r="M14" s="61">
        <f t="shared" si="3"/>
        <v>119.25</v>
      </c>
    </row>
    <row r="15">
      <c r="A15" s="32"/>
      <c r="B15" s="23" t="s">
        <v>248</v>
      </c>
      <c r="C15" s="23" t="s">
        <v>18</v>
      </c>
      <c r="D15" s="23" t="s">
        <v>249</v>
      </c>
      <c r="E15" s="28">
        <v>470.0</v>
      </c>
      <c r="F15" s="28"/>
      <c r="G15" s="28"/>
      <c r="H15" s="29"/>
      <c r="I15" s="105"/>
      <c r="J15" s="105"/>
      <c r="K15" s="61">
        <f t="shared" si="1"/>
        <v>117.5</v>
      </c>
      <c r="L15" s="61">
        <f t="shared" si="2"/>
        <v>0</v>
      </c>
      <c r="M15" s="61">
        <f t="shared" si="3"/>
        <v>117.5</v>
      </c>
    </row>
    <row r="16">
      <c r="A16" s="61"/>
      <c r="B16" s="108" t="s">
        <v>250</v>
      </c>
      <c r="C16" s="108" t="s">
        <v>67</v>
      </c>
      <c r="D16" s="108"/>
      <c r="E16" s="28">
        <v>446.0</v>
      </c>
      <c r="F16" s="28"/>
      <c r="G16" s="28"/>
      <c r="H16" s="112"/>
      <c r="I16" s="112"/>
      <c r="J16" s="112"/>
      <c r="K16" s="61">
        <f t="shared" si="1"/>
        <v>111.5</v>
      </c>
      <c r="L16" s="61">
        <f t="shared" si="2"/>
        <v>0</v>
      </c>
      <c r="M16" s="61">
        <f t="shared" si="3"/>
        <v>111.5</v>
      </c>
    </row>
    <row r="17">
      <c r="A17" s="32"/>
      <c r="B17" s="23" t="s">
        <v>251</v>
      </c>
      <c r="C17" s="23" t="s">
        <v>32</v>
      </c>
      <c r="D17" s="23" t="s">
        <v>40</v>
      </c>
      <c r="E17" s="28">
        <v>426.0</v>
      </c>
      <c r="F17" s="28"/>
      <c r="G17" s="28"/>
      <c r="H17" s="29"/>
      <c r="I17" s="17"/>
      <c r="J17" s="17"/>
      <c r="K17" s="61">
        <f t="shared" si="1"/>
        <v>106.5</v>
      </c>
      <c r="L17" s="61">
        <f t="shared" si="2"/>
        <v>0</v>
      </c>
      <c r="M17" s="61">
        <f t="shared" si="3"/>
        <v>106.5</v>
      </c>
    </row>
    <row r="18">
      <c r="A18" s="61"/>
      <c r="B18" s="23" t="s">
        <v>252</v>
      </c>
      <c r="C18" s="23" t="s">
        <v>18</v>
      </c>
      <c r="D18" s="23"/>
      <c r="E18" s="28">
        <v>425.0</v>
      </c>
      <c r="F18" s="28"/>
      <c r="G18" s="28"/>
      <c r="H18" s="101"/>
      <c r="I18" s="105"/>
      <c r="J18" s="105"/>
      <c r="K18" s="61">
        <f t="shared" si="1"/>
        <v>106.25</v>
      </c>
      <c r="L18" s="61">
        <f t="shared" si="2"/>
        <v>0</v>
      </c>
      <c r="M18" s="61">
        <f t="shared" si="3"/>
        <v>106.25</v>
      </c>
    </row>
    <row r="19">
      <c r="A19" s="32"/>
      <c r="B19" s="23" t="s">
        <v>253</v>
      </c>
      <c r="C19" s="23" t="s">
        <v>32</v>
      </c>
      <c r="D19" s="23" t="s">
        <v>40</v>
      </c>
      <c r="E19" s="28">
        <v>416.0</v>
      </c>
      <c r="F19" s="28"/>
      <c r="G19" s="28"/>
      <c r="H19" s="29"/>
      <c r="I19" s="101"/>
      <c r="J19" s="101"/>
      <c r="K19" s="61">
        <f t="shared" si="1"/>
        <v>104</v>
      </c>
      <c r="L19" s="61">
        <f t="shared" si="2"/>
        <v>0</v>
      </c>
      <c r="M19" s="61">
        <f t="shared" si="3"/>
        <v>104</v>
      </c>
    </row>
    <row r="20">
      <c r="A20" s="32"/>
      <c r="B20" s="23" t="s">
        <v>254</v>
      </c>
      <c r="C20" s="23" t="s">
        <v>32</v>
      </c>
      <c r="D20" s="23" t="s">
        <v>40</v>
      </c>
      <c r="E20" s="28">
        <v>360.0</v>
      </c>
      <c r="F20" s="28"/>
      <c r="G20" s="28"/>
      <c r="H20" s="29"/>
      <c r="I20" s="17"/>
      <c r="J20" s="17"/>
      <c r="K20" s="61">
        <f t="shared" si="1"/>
        <v>90</v>
      </c>
      <c r="L20" s="61">
        <f t="shared" si="2"/>
        <v>0</v>
      </c>
      <c r="M20" s="61">
        <f t="shared" si="3"/>
        <v>90</v>
      </c>
    </row>
    <row r="21">
      <c r="A21" s="61"/>
      <c r="B21" s="23" t="s">
        <v>255</v>
      </c>
      <c r="C21" s="23" t="s">
        <v>67</v>
      </c>
      <c r="D21" s="23"/>
      <c r="E21" s="28">
        <v>340.0</v>
      </c>
      <c r="F21" s="28"/>
      <c r="G21" s="28"/>
      <c r="H21" s="29"/>
      <c r="I21" s="105"/>
      <c r="J21" s="105"/>
      <c r="K21" s="61">
        <f t="shared" si="1"/>
        <v>85</v>
      </c>
      <c r="L21" s="61">
        <f t="shared" si="2"/>
        <v>0</v>
      </c>
      <c r="M21" s="61">
        <f t="shared" si="3"/>
        <v>85</v>
      </c>
    </row>
    <row r="22">
      <c r="A22" s="32"/>
      <c r="B22" s="23" t="s">
        <v>256</v>
      </c>
      <c r="C22" s="23" t="s">
        <v>36</v>
      </c>
      <c r="D22" s="23"/>
      <c r="E22" s="113">
        <v>338.0</v>
      </c>
      <c r="F22" s="28"/>
      <c r="G22" s="28"/>
      <c r="H22" s="47"/>
      <c r="I22" s="17"/>
      <c r="J22" s="17"/>
      <c r="K22" s="61">
        <f t="shared" si="1"/>
        <v>84.5</v>
      </c>
      <c r="L22" s="61">
        <f t="shared" si="2"/>
        <v>0</v>
      </c>
      <c r="M22" s="61">
        <f t="shared" si="3"/>
        <v>84.5</v>
      </c>
    </row>
    <row r="23">
      <c r="A23" s="61"/>
      <c r="B23" s="23" t="s">
        <v>257</v>
      </c>
      <c r="C23" s="23" t="s">
        <v>67</v>
      </c>
      <c r="D23" s="23"/>
      <c r="E23" s="28">
        <v>330.0</v>
      </c>
      <c r="F23" s="28"/>
      <c r="G23" s="28"/>
      <c r="H23" s="101"/>
      <c r="I23" s="105"/>
      <c r="J23" s="105"/>
      <c r="K23" s="61">
        <f t="shared" si="1"/>
        <v>82.5</v>
      </c>
      <c r="L23" s="61">
        <f t="shared" si="2"/>
        <v>0</v>
      </c>
      <c r="M23" s="61">
        <f t="shared" si="3"/>
        <v>82.5</v>
      </c>
    </row>
    <row r="24">
      <c r="A24" s="61"/>
      <c r="B24" s="23" t="s">
        <v>258</v>
      </c>
      <c r="C24" s="23" t="s">
        <v>36</v>
      </c>
      <c r="D24" s="23"/>
      <c r="E24" s="28">
        <v>240.0</v>
      </c>
      <c r="F24" s="28"/>
      <c r="G24" s="28"/>
      <c r="H24" s="101"/>
      <c r="I24" s="105"/>
      <c r="J24" s="105"/>
      <c r="K24" s="61">
        <f t="shared" si="1"/>
        <v>60</v>
      </c>
      <c r="L24" s="61">
        <f t="shared" si="2"/>
        <v>0</v>
      </c>
      <c r="M24" s="61">
        <f t="shared" si="3"/>
        <v>60</v>
      </c>
    </row>
    <row r="25">
      <c r="A25" s="61"/>
      <c r="B25" s="23" t="s">
        <v>259</v>
      </c>
      <c r="C25" s="23" t="s">
        <v>48</v>
      </c>
      <c r="D25" s="23"/>
      <c r="E25" s="28">
        <v>152.0</v>
      </c>
      <c r="F25" s="28"/>
      <c r="G25" s="28"/>
      <c r="H25" s="101"/>
      <c r="I25" s="105"/>
      <c r="J25" s="105"/>
      <c r="K25" s="61">
        <f t="shared" si="1"/>
        <v>38</v>
      </c>
      <c r="L25" s="61">
        <f t="shared" si="2"/>
        <v>0</v>
      </c>
      <c r="M25" s="61">
        <f t="shared" si="3"/>
        <v>38</v>
      </c>
    </row>
    <row r="26">
      <c r="A26" s="61"/>
      <c r="B26" s="23"/>
      <c r="C26" s="23"/>
      <c r="D26" s="23"/>
      <c r="E26" s="28"/>
      <c r="F26" s="28"/>
      <c r="G26" s="28"/>
      <c r="H26" s="29"/>
      <c r="I26" s="105"/>
      <c r="J26" s="105"/>
      <c r="K26" s="61">
        <f t="shared" si="1"/>
        <v>0</v>
      </c>
      <c r="L26" s="61">
        <f t="shared" si="2"/>
        <v>0</v>
      </c>
      <c r="M26" s="61">
        <f t="shared" si="3"/>
        <v>0</v>
      </c>
    </row>
    <row r="27">
      <c r="A27" s="32"/>
      <c r="B27" s="23"/>
      <c r="C27" s="23"/>
      <c r="D27" s="23"/>
      <c r="E27" s="28"/>
      <c r="F27" s="28"/>
      <c r="G27" s="28"/>
      <c r="H27" s="29"/>
      <c r="I27" s="17"/>
      <c r="J27" s="17"/>
      <c r="K27" s="61">
        <f t="shared" si="1"/>
        <v>0</v>
      </c>
      <c r="L27" s="61">
        <f t="shared" si="2"/>
        <v>0</v>
      </c>
      <c r="M27" s="61">
        <f t="shared" si="3"/>
        <v>0</v>
      </c>
    </row>
    <row r="28">
      <c r="A28" s="32"/>
      <c r="B28" s="108"/>
      <c r="C28" s="108"/>
      <c r="D28" s="23"/>
      <c r="E28" s="28"/>
      <c r="F28" s="28"/>
      <c r="G28" s="28"/>
      <c r="H28" s="112"/>
      <c r="I28" s="114"/>
      <c r="J28" s="114"/>
      <c r="K28" s="61">
        <f t="shared" si="1"/>
        <v>0</v>
      </c>
      <c r="L28" s="61">
        <f t="shared" si="2"/>
        <v>0</v>
      </c>
      <c r="M28" s="61">
        <f t="shared" si="3"/>
        <v>0</v>
      </c>
    </row>
    <row r="29">
      <c r="A29" s="32"/>
      <c r="B29" s="23"/>
      <c r="C29" s="23"/>
      <c r="D29" s="23"/>
      <c r="E29" s="28"/>
      <c r="F29" s="28"/>
      <c r="G29" s="28"/>
      <c r="H29" s="101"/>
      <c r="I29" s="105"/>
      <c r="J29" s="105"/>
      <c r="K29" s="61">
        <f t="shared" si="1"/>
        <v>0</v>
      </c>
      <c r="L29" s="61">
        <f t="shared" si="2"/>
        <v>0</v>
      </c>
      <c r="M29" s="61">
        <f t="shared" si="3"/>
        <v>0</v>
      </c>
    </row>
    <row r="30">
      <c r="A30" s="61"/>
      <c r="B30" s="23"/>
      <c r="C30" s="23"/>
      <c r="D30" s="23"/>
      <c r="E30" s="28"/>
      <c r="F30" s="28"/>
      <c r="G30" s="28"/>
      <c r="H30" s="101"/>
      <c r="I30" s="105"/>
      <c r="J30" s="105"/>
      <c r="K30" s="61">
        <f t="shared" si="1"/>
        <v>0</v>
      </c>
      <c r="L30" s="61">
        <f t="shared" si="2"/>
        <v>0</v>
      </c>
      <c r="M30" s="61">
        <f t="shared" si="3"/>
        <v>0</v>
      </c>
    </row>
    <row r="31">
      <c r="A31" s="32"/>
      <c r="B31" s="108"/>
      <c r="C31" s="108"/>
      <c r="D31" s="23"/>
      <c r="E31" s="28"/>
      <c r="F31" s="28"/>
      <c r="G31" s="28"/>
      <c r="H31" s="112"/>
      <c r="I31" s="112"/>
      <c r="J31" s="112"/>
      <c r="K31" s="61">
        <f t="shared" si="1"/>
        <v>0</v>
      </c>
      <c r="L31" s="61">
        <f t="shared" si="2"/>
        <v>0</v>
      </c>
      <c r="M31" s="61">
        <f t="shared" si="3"/>
        <v>0</v>
      </c>
    </row>
    <row r="32">
      <c r="A32" s="61"/>
      <c r="B32" s="23"/>
      <c r="C32" s="23"/>
      <c r="D32" s="23"/>
      <c r="E32" s="28"/>
      <c r="F32" s="28"/>
      <c r="G32" s="28"/>
      <c r="H32" s="105"/>
      <c r="I32" s="105"/>
      <c r="J32" s="105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61"/>
      <c r="B33" s="108"/>
      <c r="C33" s="108"/>
      <c r="D33" s="23"/>
      <c r="E33" s="28"/>
      <c r="F33" s="28"/>
      <c r="G33" s="28"/>
      <c r="H33" s="112"/>
      <c r="I33" s="114"/>
      <c r="J33" s="114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61"/>
      <c r="B34" s="23"/>
      <c r="C34" s="23"/>
      <c r="D34" s="23"/>
      <c r="E34" s="28"/>
      <c r="F34" s="28"/>
      <c r="G34" s="28"/>
      <c r="H34" s="47"/>
      <c r="I34" s="105"/>
      <c r="J34" s="105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105"/>
      <c r="I35" s="105"/>
      <c r="J35" s="105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32"/>
      <c r="B36" s="108"/>
      <c r="C36" s="108"/>
      <c r="D36" s="108"/>
      <c r="E36" s="28"/>
      <c r="F36" s="28"/>
      <c r="G36" s="28"/>
      <c r="H36" s="112"/>
      <c r="I36" s="114"/>
      <c r="J36" s="114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23"/>
      <c r="C37" s="23"/>
      <c r="D37" s="23"/>
      <c r="E37" s="28"/>
      <c r="F37" s="28"/>
      <c r="G37" s="28"/>
      <c r="H37" s="101"/>
      <c r="I37" s="105"/>
      <c r="J37" s="105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61"/>
      <c r="B38" s="23"/>
      <c r="C38" s="23"/>
      <c r="D38" s="23"/>
      <c r="E38" s="28"/>
      <c r="F38" s="28"/>
      <c r="G38" s="28"/>
      <c r="H38" s="101"/>
      <c r="I38" s="105"/>
      <c r="J38" s="105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32"/>
      <c r="B39" s="108"/>
      <c r="C39" s="108"/>
      <c r="D39" s="108"/>
      <c r="E39" s="28"/>
      <c r="F39" s="28"/>
      <c r="G39" s="28"/>
      <c r="H39" s="114"/>
      <c r="I39" s="114"/>
      <c r="J39" s="114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2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32"/>
      <c r="B41" s="115"/>
      <c r="C41" s="115"/>
      <c r="D41" s="115"/>
      <c r="E41" s="118"/>
      <c r="F41" s="118"/>
      <c r="G41" s="118"/>
      <c r="H41" s="119"/>
      <c r="I41" s="119"/>
      <c r="J41" s="119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32"/>
      <c r="B42" s="23"/>
      <c r="C42" s="23"/>
      <c r="D42" s="23"/>
      <c r="E42" s="28"/>
      <c r="F42" s="28"/>
      <c r="G42" s="28"/>
      <c r="H42" s="101"/>
      <c r="I42" s="105"/>
      <c r="J42" s="105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61"/>
      <c r="B43" s="23"/>
      <c r="C43" s="23"/>
      <c r="D43" s="23"/>
      <c r="E43" s="28"/>
      <c r="F43" s="28"/>
      <c r="G43" s="28"/>
      <c r="H43" s="101"/>
      <c r="I43" s="105"/>
      <c r="J43" s="105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61"/>
      <c r="B44" s="115"/>
      <c r="C44" s="115"/>
      <c r="D44" s="115"/>
      <c r="E44" s="118"/>
      <c r="F44" s="120"/>
      <c r="G44" s="120"/>
      <c r="H44" s="119"/>
      <c r="I44" s="119"/>
      <c r="J44" s="119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32"/>
      <c r="B45" s="23"/>
      <c r="C45" s="23"/>
      <c r="D45" s="23"/>
      <c r="E45" s="28"/>
      <c r="F45" s="28"/>
      <c r="G45" s="28"/>
      <c r="H45" s="47"/>
      <c r="I45" s="105"/>
      <c r="J45" s="105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61"/>
      <c r="B46" s="108"/>
      <c r="C46" s="108"/>
      <c r="D46" s="108"/>
      <c r="E46" s="28"/>
      <c r="F46" s="28"/>
      <c r="G46" s="28"/>
      <c r="H46" s="114"/>
      <c r="I46" s="114"/>
      <c r="J46" s="114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08"/>
      <c r="C47" s="108"/>
      <c r="D47" s="108"/>
      <c r="E47" s="28"/>
      <c r="F47" s="28"/>
      <c r="G47" s="28"/>
      <c r="H47" s="114"/>
      <c r="I47" s="114"/>
      <c r="J47" s="114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32"/>
      <c r="B48" s="31"/>
      <c r="C48" s="31"/>
      <c r="D48" s="31"/>
      <c r="E48" s="28"/>
      <c r="F48" s="28"/>
      <c r="G48" s="28"/>
      <c r="H48" s="112"/>
      <c r="I48" s="114"/>
      <c r="J48" s="114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32"/>
      <c r="B49" s="115"/>
      <c r="C49" s="115"/>
      <c r="D49" s="115"/>
      <c r="E49" s="118"/>
      <c r="F49" s="120"/>
      <c r="G49" s="120"/>
      <c r="H49" s="119"/>
      <c r="I49" s="119"/>
      <c r="J49" s="119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61"/>
      <c r="B50" s="108"/>
      <c r="C50" s="108"/>
      <c r="D50" s="108"/>
      <c r="E50" s="28"/>
      <c r="F50" s="28"/>
      <c r="G50" s="28"/>
      <c r="H50" s="114"/>
      <c r="I50" s="114"/>
      <c r="J50" s="114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32"/>
      <c r="B51" s="31"/>
      <c r="C51" s="31"/>
      <c r="D51" s="31"/>
      <c r="E51" s="28"/>
      <c r="F51" s="28"/>
      <c r="G51" s="28"/>
      <c r="H51" s="112"/>
      <c r="I51" s="114"/>
      <c r="J51" s="114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61"/>
      <c r="B52" s="23"/>
      <c r="C52" s="23"/>
      <c r="D52" s="23"/>
      <c r="E52" s="28"/>
      <c r="F52" s="28"/>
      <c r="G52" s="28"/>
      <c r="H52" s="105"/>
      <c r="I52" s="105"/>
      <c r="J52" s="105"/>
      <c r="K52" s="61">
        <f t="shared" si="1"/>
        <v>0</v>
      </c>
      <c r="L52" s="61">
        <f t="shared" si="2"/>
        <v>0</v>
      </c>
      <c r="M52" s="61">
        <f t="shared" si="3"/>
        <v>0</v>
      </c>
    </row>
    <row r="53">
      <c r="A53" s="61"/>
      <c r="B53" s="108"/>
      <c r="C53" s="121"/>
      <c r="D53" s="121"/>
      <c r="E53" s="28"/>
      <c r="F53" s="28"/>
      <c r="G53" s="28"/>
      <c r="H53" s="114"/>
      <c r="I53" s="114"/>
      <c r="J53" s="114"/>
      <c r="K53" s="61">
        <f t="shared" si="1"/>
        <v>0</v>
      </c>
      <c r="L53" s="61">
        <f t="shared" si="2"/>
        <v>0</v>
      </c>
      <c r="M53" s="61">
        <f t="shared" si="3"/>
        <v>0</v>
      </c>
    </row>
    <row r="54">
      <c r="A54" s="61"/>
      <c r="B54" s="115"/>
      <c r="C54" s="115"/>
      <c r="D54" s="115"/>
      <c r="E54" s="118"/>
      <c r="F54" s="120"/>
      <c r="G54" s="120"/>
      <c r="H54" s="119"/>
      <c r="I54" s="119"/>
      <c r="J54" s="119"/>
      <c r="K54" s="61">
        <f t="shared" si="1"/>
        <v>0</v>
      </c>
      <c r="L54" s="61">
        <f t="shared" si="2"/>
        <v>0</v>
      </c>
      <c r="M54" s="61">
        <f t="shared" si="3"/>
        <v>0</v>
      </c>
    </row>
    <row r="55">
      <c r="A55" s="32"/>
      <c r="B55" s="23"/>
      <c r="C55" s="23"/>
      <c r="D55" s="23"/>
      <c r="E55" s="28"/>
      <c r="F55" s="28"/>
      <c r="G55" s="28"/>
      <c r="H55" s="105"/>
      <c r="I55" s="105"/>
      <c r="J55" s="105"/>
      <c r="K55" s="61">
        <f t="shared" si="1"/>
        <v>0</v>
      </c>
      <c r="L55" s="61">
        <f t="shared" si="2"/>
        <v>0</v>
      </c>
      <c r="M55" s="61">
        <f t="shared" si="3"/>
        <v>0</v>
      </c>
    </row>
    <row r="56">
      <c r="A56" s="32"/>
      <c r="B56" s="115"/>
      <c r="C56" s="115"/>
      <c r="D56" s="115"/>
      <c r="E56" s="118"/>
      <c r="F56" s="120"/>
      <c r="G56" s="120"/>
      <c r="H56" s="119"/>
      <c r="I56" s="119"/>
      <c r="J56" s="119"/>
      <c r="K56" s="61">
        <f t="shared" si="1"/>
        <v>0</v>
      </c>
      <c r="L56" s="61">
        <f t="shared" si="2"/>
        <v>0</v>
      </c>
      <c r="M56" s="61">
        <f t="shared" si="3"/>
        <v>0</v>
      </c>
    </row>
    <row r="57">
      <c r="A57" s="61"/>
      <c r="B57" s="108"/>
      <c r="C57" s="108"/>
      <c r="D57" s="108"/>
      <c r="E57" s="28"/>
      <c r="F57" s="28"/>
      <c r="G57" s="28"/>
      <c r="H57" s="114"/>
      <c r="I57" s="114"/>
      <c r="J57" s="114"/>
      <c r="K57" s="61">
        <f t="shared" si="1"/>
        <v>0</v>
      </c>
      <c r="L57" s="61">
        <f t="shared" si="2"/>
        <v>0</v>
      </c>
      <c r="M57" s="61">
        <f t="shared" si="3"/>
        <v>0</v>
      </c>
    </row>
    <row r="58">
      <c r="A58" s="32"/>
      <c r="B58" s="31"/>
      <c r="C58" s="31"/>
      <c r="D58" s="31"/>
      <c r="E58" s="28"/>
      <c r="F58" s="28"/>
      <c r="G58" s="28"/>
      <c r="H58" s="112"/>
      <c r="I58" s="114"/>
      <c r="J58" s="114"/>
      <c r="K58" s="61">
        <f t="shared" si="1"/>
        <v>0</v>
      </c>
      <c r="L58" s="61">
        <f t="shared" si="2"/>
        <v>0</v>
      </c>
      <c r="M58" s="61">
        <f t="shared" si="3"/>
        <v>0</v>
      </c>
    </row>
    <row r="59">
      <c r="A59" s="61"/>
      <c r="B59" s="23"/>
      <c r="C59" s="23"/>
      <c r="D59" s="23"/>
      <c r="E59" s="28"/>
      <c r="F59" s="28"/>
      <c r="G59" s="28"/>
      <c r="H59" s="105"/>
      <c r="I59" s="105"/>
      <c r="J59" s="105"/>
      <c r="K59" s="61">
        <f t="shared" si="1"/>
        <v>0</v>
      </c>
      <c r="L59" s="61">
        <f t="shared" si="2"/>
        <v>0</v>
      </c>
      <c r="M59" s="61">
        <f t="shared" si="3"/>
        <v>0</v>
      </c>
    </row>
    <row r="60">
      <c r="A60" s="32"/>
      <c r="B60" s="108"/>
      <c r="C60" s="108"/>
      <c r="D60" s="108"/>
      <c r="E60" s="28"/>
      <c r="F60" s="28"/>
      <c r="G60" s="28"/>
      <c r="H60" s="112"/>
      <c r="I60" s="114"/>
      <c r="J60" s="114"/>
      <c r="K60" s="61">
        <f t="shared" si="1"/>
        <v>0</v>
      </c>
      <c r="L60" s="61">
        <f t="shared" si="2"/>
        <v>0</v>
      </c>
      <c r="M60" s="61">
        <f t="shared" si="3"/>
        <v>0</v>
      </c>
    </row>
    <row r="61">
      <c r="A61" s="61"/>
      <c r="B61" s="23"/>
      <c r="C61" s="23"/>
      <c r="D61" s="23"/>
      <c r="E61" s="28"/>
      <c r="F61" s="28"/>
      <c r="G61" s="28"/>
      <c r="H61" s="105"/>
      <c r="I61" s="105"/>
      <c r="J61" s="105"/>
      <c r="K61" s="61">
        <f t="shared" si="1"/>
        <v>0</v>
      </c>
      <c r="L61" s="61">
        <f t="shared" si="2"/>
        <v>0</v>
      </c>
      <c r="M61" s="61">
        <f t="shared" si="3"/>
        <v>0</v>
      </c>
    </row>
    <row r="62">
      <c r="A62" s="32"/>
      <c r="B62" s="31"/>
      <c r="C62" s="31"/>
      <c r="D62" s="31"/>
      <c r="E62" s="28"/>
      <c r="F62" s="28"/>
      <c r="G62" s="28"/>
      <c r="H62" s="112"/>
      <c r="I62" s="114"/>
      <c r="J62" s="114"/>
      <c r="K62" s="61">
        <f t="shared" si="1"/>
        <v>0</v>
      </c>
      <c r="L62" s="61">
        <f t="shared" si="2"/>
        <v>0</v>
      </c>
      <c r="M62" s="61">
        <f t="shared" si="3"/>
        <v>0</v>
      </c>
    </row>
  </sheetData>
  <autoFilter ref="$A$4:$M$62">
    <sortState ref="A4:M62">
      <sortCondition descending="1" ref="M4:M62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260</v>
      </c>
      <c r="C5" s="23" t="s">
        <v>32</v>
      </c>
      <c r="D5" s="23" t="s">
        <v>40</v>
      </c>
      <c r="E5" s="28">
        <v>569.0</v>
      </c>
      <c r="F5" s="28">
        <v>1.0</v>
      </c>
      <c r="G5" s="28">
        <v>70.0</v>
      </c>
      <c r="H5" s="101"/>
      <c r="I5" s="101"/>
      <c r="J5" s="101"/>
      <c r="K5" s="61">
        <f t="shared" ref="K5:K20" si="1">(H5+E5)/4</f>
        <v>142.25</v>
      </c>
      <c r="L5" s="61">
        <f t="shared" ref="L5:L62" si="2">J5+G5</f>
        <v>70</v>
      </c>
      <c r="M5" s="61">
        <f t="shared" ref="M5:M62" si="3">K5+L5</f>
        <v>212.25</v>
      </c>
    </row>
    <row r="6">
      <c r="A6" s="32"/>
      <c r="B6" s="23" t="s">
        <v>261</v>
      </c>
      <c r="C6" s="23" t="s">
        <v>18</v>
      </c>
      <c r="D6" s="23" t="s">
        <v>21</v>
      </c>
      <c r="E6" s="28">
        <v>586.0</v>
      </c>
      <c r="F6" s="28">
        <v>2.0</v>
      </c>
      <c r="G6" s="28">
        <v>60.0</v>
      </c>
      <c r="H6" s="29"/>
      <c r="I6" s="101"/>
      <c r="J6" s="101"/>
      <c r="K6" s="61">
        <f t="shared" si="1"/>
        <v>146.5</v>
      </c>
      <c r="L6" s="61">
        <f t="shared" si="2"/>
        <v>60</v>
      </c>
      <c r="M6" s="61">
        <f t="shared" si="3"/>
        <v>206.5</v>
      </c>
    </row>
    <row r="7">
      <c r="A7" s="32"/>
      <c r="B7" s="23" t="s">
        <v>262</v>
      </c>
      <c r="C7" s="23" t="s">
        <v>15</v>
      </c>
      <c r="D7" s="23" t="s">
        <v>34</v>
      </c>
      <c r="E7" s="123">
        <v>573.0</v>
      </c>
      <c r="F7" s="28">
        <v>3.0</v>
      </c>
      <c r="G7" s="28">
        <v>50.0</v>
      </c>
      <c r="H7" s="29"/>
      <c r="I7" s="105"/>
      <c r="J7" s="105"/>
      <c r="K7" s="61">
        <f t="shared" si="1"/>
        <v>143.25</v>
      </c>
      <c r="L7" s="61">
        <f t="shared" si="2"/>
        <v>50</v>
      </c>
      <c r="M7" s="61">
        <f t="shared" si="3"/>
        <v>193.25</v>
      </c>
    </row>
    <row r="8">
      <c r="A8" s="32"/>
      <c r="B8" s="23" t="s">
        <v>263</v>
      </c>
      <c r="C8" s="23" t="s">
        <v>15</v>
      </c>
      <c r="D8" s="23" t="s">
        <v>34</v>
      </c>
      <c r="E8" s="28">
        <v>585.0</v>
      </c>
      <c r="F8" s="28">
        <v>4.0</v>
      </c>
      <c r="G8" s="28">
        <v>40.0</v>
      </c>
      <c r="H8" s="29"/>
      <c r="I8" s="45"/>
      <c r="J8" s="45"/>
      <c r="K8" s="61">
        <f t="shared" si="1"/>
        <v>146.25</v>
      </c>
      <c r="L8" s="61">
        <f t="shared" si="2"/>
        <v>40</v>
      </c>
      <c r="M8" s="61">
        <f t="shared" si="3"/>
        <v>186.25</v>
      </c>
    </row>
    <row r="9">
      <c r="A9" s="61"/>
      <c r="B9" s="23" t="s">
        <v>115</v>
      </c>
      <c r="C9" s="23" t="s">
        <v>36</v>
      </c>
      <c r="D9" s="23" t="s">
        <v>34</v>
      </c>
      <c r="E9" s="130">
        <v>586.0</v>
      </c>
      <c r="F9" s="130">
        <v>5.0</v>
      </c>
      <c r="G9" s="130">
        <v>30.0</v>
      </c>
      <c r="H9" s="29"/>
      <c r="I9" s="45"/>
      <c r="J9" s="45"/>
      <c r="K9" s="61">
        <f t="shared" si="1"/>
        <v>146.5</v>
      </c>
      <c r="L9" s="61">
        <f t="shared" si="2"/>
        <v>30</v>
      </c>
      <c r="M9" s="61">
        <f t="shared" si="3"/>
        <v>176.5</v>
      </c>
    </row>
    <row r="10">
      <c r="A10" s="61"/>
      <c r="B10" s="23" t="s">
        <v>264</v>
      </c>
      <c r="C10" s="23" t="s">
        <v>18</v>
      </c>
      <c r="D10" s="23" t="s">
        <v>21</v>
      </c>
      <c r="E10" s="28">
        <v>593.0</v>
      </c>
      <c r="F10" s="28">
        <v>6.0</v>
      </c>
      <c r="G10" s="28">
        <v>20.0</v>
      </c>
      <c r="H10" s="29"/>
      <c r="I10" s="45"/>
      <c r="J10" s="45"/>
      <c r="K10" s="61">
        <f t="shared" si="1"/>
        <v>148.25</v>
      </c>
      <c r="L10" s="61">
        <f t="shared" si="2"/>
        <v>20</v>
      </c>
      <c r="M10" s="61">
        <f t="shared" si="3"/>
        <v>168.25</v>
      </c>
    </row>
    <row r="11">
      <c r="A11" s="61"/>
      <c r="B11" s="23" t="s">
        <v>265</v>
      </c>
      <c r="C11" s="23" t="s">
        <v>32</v>
      </c>
      <c r="D11" s="23" t="s">
        <v>40</v>
      </c>
      <c r="E11" s="28">
        <v>570.0</v>
      </c>
      <c r="F11" s="28">
        <v>7.0</v>
      </c>
      <c r="G11" s="28">
        <v>10.0</v>
      </c>
      <c r="H11" s="29"/>
      <c r="I11" s="105"/>
      <c r="J11" s="105"/>
      <c r="K11" s="61">
        <f t="shared" si="1"/>
        <v>142.5</v>
      </c>
      <c r="L11" s="61">
        <f t="shared" si="2"/>
        <v>10</v>
      </c>
      <c r="M11" s="61">
        <f t="shared" si="3"/>
        <v>152.5</v>
      </c>
    </row>
    <row r="12">
      <c r="A12" s="61"/>
      <c r="B12" s="23" t="s">
        <v>266</v>
      </c>
      <c r="C12" s="23" t="s">
        <v>18</v>
      </c>
      <c r="D12" s="23" t="s">
        <v>21</v>
      </c>
      <c r="E12" s="104">
        <v>581.0</v>
      </c>
      <c r="F12" s="28">
        <v>8.0</v>
      </c>
      <c r="G12" s="28">
        <v>5.0</v>
      </c>
      <c r="H12" s="101"/>
      <c r="I12" s="105"/>
      <c r="J12" s="105"/>
      <c r="K12" s="61">
        <f t="shared" si="1"/>
        <v>145.25</v>
      </c>
      <c r="L12" s="61">
        <f t="shared" si="2"/>
        <v>5</v>
      </c>
      <c r="M12" s="61">
        <f t="shared" si="3"/>
        <v>150.25</v>
      </c>
    </row>
    <row r="13">
      <c r="A13" s="32"/>
      <c r="B13" s="23" t="s">
        <v>267</v>
      </c>
      <c r="C13" s="23" t="s">
        <v>67</v>
      </c>
      <c r="D13" s="23"/>
      <c r="E13" s="28">
        <v>562.0</v>
      </c>
      <c r="F13" s="28"/>
      <c r="G13" s="28"/>
      <c r="H13" s="29"/>
      <c r="I13" s="105"/>
      <c r="J13" s="105"/>
      <c r="K13" s="61">
        <f t="shared" si="1"/>
        <v>140.5</v>
      </c>
      <c r="L13" s="61">
        <f t="shared" si="2"/>
        <v>0</v>
      </c>
      <c r="M13" s="61">
        <f t="shared" si="3"/>
        <v>140.5</v>
      </c>
    </row>
    <row r="14">
      <c r="A14" s="32"/>
      <c r="B14" s="23" t="s">
        <v>268</v>
      </c>
      <c r="C14" s="23" t="s">
        <v>39</v>
      </c>
      <c r="D14" s="23" t="s">
        <v>40</v>
      </c>
      <c r="E14" s="28">
        <v>556.0</v>
      </c>
      <c r="F14" s="28"/>
      <c r="G14" s="28"/>
      <c r="H14" s="101"/>
      <c r="I14" s="105"/>
      <c r="J14" s="105"/>
      <c r="K14" s="61">
        <f t="shared" si="1"/>
        <v>139</v>
      </c>
      <c r="L14" s="61">
        <f t="shared" si="2"/>
        <v>0</v>
      </c>
      <c r="M14" s="61">
        <f t="shared" si="3"/>
        <v>139</v>
      </c>
    </row>
    <row r="15">
      <c r="A15" s="32"/>
      <c r="B15" s="23" t="s">
        <v>269</v>
      </c>
      <c r="C15" s="23" t="s">
        <v>39</v>
      </c>
      <c r="D15" s="23"/>
      <c r="E15" s="28">
        <v>551.0</v>
      </c>
      <c r="F15" s="28"/>
      <c r="G15" s="28"/>
      <c r="H15" s="29"/>
      <c r="I15" s="105"/>
      <c r="J15" s="105"/>
      <c r="K15" s="61">
        <f t="shared" si="1"/>
        <v>137.75</v>
      </c>
      <c r="L15" s="61">
        <f t="shared" si="2"/>
        <v>0</v>
      </c>
      <c r="M15" s="61">
        <f t="shared" si="3"/>
        <v>137.75</v>
      </c>
    </row>
    <row r="16">
      <c r="A16" s="61"/>
      <c r="B16" s="108" t="s">
        <v>270</v>
      </c>
      <c r="C16" s="108" t="s">
        <v>18</v>
      </c>
      <c r="D16" s="108"/>
      <c r="E16" s="28">
        <v>543.0</v>
      </c>
      <c r="F16" s="28"/>
      <c r="G16" s="28"/>
      <c r="H16" s="112"/>
      <c r="I16" s="112"/>
      <c r="J16" s="112"/>
      <c r="K16" s="61">
        <f t="shared" si="1"/>
        <v>135.75</v>
      </c>
      <c r="L16" s="61">
        <f t="shared" si="2"/>
        <v>0</v>
      </c>
      <c r="M16" s="61">
        <f t="shared" si="3"/>
        <v>135.75</v>
      </c>
    </row>
    <row r="17">
      <c r="A17" s="32"/>
      <c r="B17" s="23" t="s">
        <v>271</v>
      </c>
      <c r="C17" s="23" t="s">
        <v>36</v>
      </c>
      <c r="D17" s="23"/>
      <c r="E17" s="28">
        <v>541.0</v>
      </c>
      <c r="F17" s="28"/>
      <c r="G17" s="28"/>
      <c r="H17" s="29"/>
      <c r="I17" s="17"/>
      <c r="J17" s="17"/>
      <c r="K17" s="61">
        <f t="shared" si="1"/>
        <v>135.25</v>
      </c>
      <c r="L17" s="61">
        <f t="shared" si="2"/>
        <v>0</v>
      </c>
      <c r="M17" s="61">
        <f t="shared" si="3"/>
        <v>135.25</v>
      </c>
    </row>
    <row r="18">
      <c r="A18" s="61"/>
      <c r="B18" s="23" t="s">
        <v>272</v>
      </c>
      <c r="C18" s="23" t="s">
        <v>39</v>
      </c>
      <c r="D18" s="23"/>
      <c r="E18" s="28">
        <v>533.0</v>
      </c>
      <c r="F18" s="28"/>
      <c r="G18" s="28"/>
      <c r="H18" s="101"/>
      <c r="I18" s="105"/>
      <c r="J18" s="105"/>
      <c r="K18" s="61">
        <f t="shared" si="1"/>
        <v>133.25</v>
      </c>
      <c r="L18" s="61">
        <f t="shared" si="2"/>
        <v>0</v>
      </c>
      <c r="M18" s="61">
        <f t="shared" si="3"/>
        <v>133.25</v>
      </c>
    </row>
    <row r="19">
      <c r="A19" s="32"/>
      <c r="B19" s="23" t="s">
        <v>273</v>
      </c>
      <c r="C19" s="23" t="s">
        <v>67</v>
      </c>
      <c r="D19" s="23"/>
      <c r="E19" s="28">
        <v>524.0</v>
      </c>
      <c r="F19" s="28"/>
      <c r="G19" s="28"/>
      <c r="H19" s="29"/>
      <c r="I19" s="101"/>
      <c r="J19" s="101"/>
      <c r="K19" s="61">
        <f t="shared" si="1"/>
        <v>131</v>
      </c>
      <c r="L19" s="61">
        <f t="shared" si="2"/>
        <v>0</v>
      </c>
      <c r="M19" s="61">
        <f t="shared" si="3"/>
        <v>131</v>
      </c>
    </row>
    <row r="20">
      <c r="A20" s="32"/>
      <c r="B20" s="23" t="s">
        <v>274</v>
      </c>
      <c r="C20" s="23" t="s">
        <v>15</v>
      </c>
      <c r="D20" s="23" t="s">
        <v>34</v>
      </c>
      <c r="E20" s="28">
        <v>496.0</v>
      </c>
      <c r="F20" s="28"/>
      <c r="G20" s="28"/>
      <c r="H20" s="29"/>
      <c r="I20" s="17"/>
      <c r="J20" s="17"/>
      <c r="K20" s="61">
        <f t="shared" si="1"/>
        <v>124</v>
      </c>
      <c r="L20" s="61">
        <f t="shared" si="2"/>
        <v>0</v>
      </c>
      <c r="M20" s="61">
        <f t="shared" si="3"/>
        <v>124</v>
      </c>
    </row>
    <row r="21">
      <c r="A21" s="61"/>
      <c r="B21" s="23" t="s">
        <v>275</v>
      </c>
      <c r="C21" s="23" t="s">
        <v>67</v>
      </c>
      <c r="D21" s="23"/>
      <c r="E21" s="113">
        <v>473.0</v>
      </c>
      <c r="F21" s="28"/>
      <c r="G21" s="28"/>
      <c r="H21" s="29"/>
      <c r="I21" s="105"/>
      <c r="J21" s="105"/>
      <c r="K21" s="61">
        <f t="shared" ref="K21:K32" si="4">(H21+E20)/4</f>
        <v>124</v>
      </c>
      <c r="L21" s="61">
        <f t="shared" si="2"/>
        <v>0</v>
      </c>
      <c r="M21" s="61">
        <f t="shared" si="3"/>
        <v>124</v>
      </c>
    </row>
    <row r="22">
      <c r="A22" s="32"/>
      <c r="B22" s="23" t="s">
        <v>276</v>
      </c>
      <c r="C22" s="23" t="s">
        <v>32</v>
      </c>
      <c r="D22" s="23" t="s">
        <v>40</v>
      </c>
      <c r="E22" s="28">
        <v>467.0</v>
      </c>
      <c r="F22" s="28"/>
      <c r="G22" s="28"/>
      <c r="H22" s="47"/>
      <c r="I22" s="17"/>
      <c r="J22" s="17"/>
      <c r="K22" s="61">
        <f t="shared" si="4"/>
        <v>118.25</v>
      </c>
      <c r="L22" s="61">
        <f t="shared" si="2"/>
        <v>0</v>
      </c>
      <c r="M22" s="61">
        <f t="shared" si="3"/>
        <v>118.25</v>
      </c>
    </row>
    <row r="23">
      <c r="A23" s="61"/>
      <c r="B23" s="23" t="s">
        <v>277</v>
      </c>
      <c r="C23" s="23" t="s">
        <v>67</v>
      </c>
      <c r="D23" s="23"/>
      <c r="E23" s="28">
        <v>431.0</v>
      </c>
      <c r="F23" s="28"/>
      <c r="G23" s="28"/>
      <c r="H23" s="101"/>
      <c r="I23" s="105"/>
      <c r="J23" s="105"/>
      <c r="K23" s="61">
        <f t="shared" si="4"/>
        <v>116.75</v>
      </c>
      <c r="L23" s="61">
        <f t="shared" si="2"/>
        <v>0</v>
      </c>
      <c r="M23" s="61">
        <f t="shared" si="3"/>
        <v>116.75</v>
      </c>
    </row>
    <row r="24">
      <c r="A24" s="61"/>
      <c r="B24" s="23" t="s">
        <v>278</v>
      </c>
      <c r="C24" s="23" t="s">
        <v>32</v>
      </c>
      <c r="D24" s="23"/>
      <c r="E24" s="28">
        <v>422.0</v>
      </c>
      <c r="F24" s="28"/>
      <c r="G24" s="28"/>
      <c r="H24" s="101"/>
      <c r="I24" s="105"/>
      <c r="J24" s="105"/>
      <c r="K24" s="61">
        <f t="shared" si="4"/>
        <v>107.75</v>
      </c>
      <c r="L24" s="61">
        <f t="shared" si="2"/>
        <v>0</v>
      </c>
      <c r="M24" s="61">
        <f t="shared" si="3"/>
        <v>107.75</v>
      </c>
    </row>
    <row r="25">
      <c r="A25" s="61"/>
      <c r="B25" s="23" t="s">
        <v>279</v>
      </c>
      <c r="C25" s="23" t="s">
        <v>36</v>
      </c>
      <c r="D25" s="23"/>
      <c r="E25" s="28">
        <v>420.0</v>
      </c>
      <c r="F25" s="28"/>
      <c r="G25" s="28"/>
      <c r="H25" s="101"/>
      <c r="I25" s="105"/>
      <c r="J25" s="105"/>
      <c r="K25" s="61">
        <f t="shared" si="4"/>
        <v>105.5</v>
      </c>
      <c r="L25" s="61">
        <f t="shared" si="2"/>
        <v>0</v>
      </c>
      <c r="M25" s="61">
        <f t="shared" si="3"/>
        <v>105.5</v>
      </c>
    </row>
    <row r="26">
      <c r="A26" s="61"/>
      <c r="B26" s="23" t="s">
        <v>280</v>
      </c>
      <c r="C26" s="23" t="s">
        <v>36</v>
      </c>
      <c r="D26" s="23"/>
      <c r="E26" s="28">
        <v>412.0</v>
      </c>
      <c r="F26" s="28"/>
      <c r="G26" s="28"/>
      <c r="H26" s="29"/>
      <c r="I26" s="105"/>
      <c r="J26" s="105"/>
      <c r="K26" s="61">
        <f t="shared" si="4"/>
        <v>105</v>
      </c>
      <c r="L26" s="61">
        <f t="shared" si="2"/>
        <v>0</v>
      </c>
      <c r="M26" s="61">
        <f t="shared" si="3"/>
        <v>105</v>
      </c>
    </row>
    <row r="27">
      <c r="A27" s="32"/>
      <c r="B27" s="23" t="s">
        <v>281</v>
      </c>
      <c r="C27" s="23" t="s">
        <v>168</v>
      </c>
      <c r="D27" s="23"/>
      <c r="E27" s="28">
        <v>406.0</v>
      </c>
      <c r="F27" s="28"/>
      <c r="G27" s="28"/>
      <c r="H27" s="29"/>
      <c r="I27" s="17"/>
      <c r="J27" s="17"/>
      <c r="K27" s="61">
        <f t="shared" si="4"/>
        <v>103</v>
      </c>
      <c r="L27" s="61">
        <f t="shared" si="2"/>
        <v>0</v>
      </c>
      <c r="M27" s="61">
        <f t="shared" si="3"/>
        <v>103</v>
      </c>
    </row>
    <row r="28">
      <c r="A28" s="32"/>
      <c r="B28" s="108" t="s">
        <v>282</v>
      </c>
      <c r="C28" s="108" t="s">
        <v>48</v>
      </c>
      <c r="D28" s="23"/>
      <c r="E28" s="28">
        <v>329.0</v>
      </c>
      <c r="F28" s="28"/>
      <c r="G28" s="28"/>
      <c r="H28" s="112"/>
      <c r="I28" s="114"/>
      <c r="J28" s="114"/>
      <c r="K28" s="61">
        <f t="shared" si="4"/>
        <v>101.5</v>
      </c>
      <c r="L28" s="61">
        <f t="shared" si="2"/>
        <v>0</v>
      </c>
      <c r="M28" s="61">
        <f t="shared" si="3"/>
        <v>101.5</v>
      </c>
    </row>
    <row r="29">
      <c r="A29" s="32"/>
      <c r="B29" s="23" t="s">
        <v>283</v>
      </c>
      <c r="C29" s="23" t="s">
        <v>168</v>
      </c>
      <c r="D29" s="23"/>
      <c r="E29" s="28">
        <v>319.0</v>
      </c>
      <c r="F29" s="28"/>
      <c r="G29" s="28"/>
      <c r="H29" s="101"/>
      <c r="I29" s="105"/>
      <c r="J29" s="105"/>
      <c r="K29" s="61">
        <f t="shared" si="4"/>
        <v>82.25</v>
      </c>
      <c r="L29" s="61">
        <f t="shared" si="2"/>
        <v>0</v>
      </c>
      <c r="M29" s="61">
        <f t="shared" si="3"/>
        <v>82.25</v>
      </c>
    </row>
    <row r="30">
      <c r="A30" s="61"/>
      <c r="B30" s="23" t="s">
        <v>284</v>
      </c>
      <c r="C30" s="23" t="s">
        <v>48</v>
      </c>
      <c r="D30" s="23"/>
      <c r="E30" s="28">
        <v>304.0</v>
      </c>
      <c r="F30" s="28"/>
      <c r="G30" s="28"/>
      <c r="H30" s="101"/>
      <c r="I30" s="105"/>
      <c r="J30" s="105"/>
      <c r="K30" s="61">
        <f t="shared" si="4"/>
        <v>79.75</v>
      </c>
      <c r="L30" s="61">
        <f t="shared" si="2"/>
        <v>0</v>
      </c>
      <c r="M30" s="61">
        <f t="shared" si="3"/>
        <v>79.75</v>
      </c>
    </row>
    <row r="31">
      <c r="A31" s="32"/>
      <c r="B31" s="108" t="s">
        <v>285</v>
      </c>
      <c r="C31" s="108" t="s">
        <v>48</v>
      </c>
      <c r="D31" s="23"/>
      <c r="E31" s="28">
        <v>190.0</v>
      </c>
      <c r="F31" s="28"/>
      <c r="G31" s="28"/>
      <c r="H31" s="112"/>
      <c r="I31" s="112"/>
      <c r="J31" s="112"/>
      <c r="K31" s="61">
        <f t="shared" si="4"/>
        <v>76</v>
      </c>
      <c r="L31" s="61">
        <f t="shared" si="2"/>
        <v>0</v>
      </c>
      <c r="M31" s="61">
        <f t="shared" si="3"/>
        <v>76</v>
      </c>
    </row>
    <row r="32">
      <c r="A32" s="61"/>
      <c r="B32" s="23"/>
      <c r="C32" s="23"/>
      <c r="D32" s="23"/>
      <c r="E32" s="11"/>
      <c r="F32" s="28"/>
      <c r="G32" s="28"/>
      <c r="H32" s="105"/>
      <c r="I32" s="105"/>
      <c r="J32" s="105"/>
      <c r="K32" s="61">
        <f t="shared" si="4"/>
        <v>47.5</v>
      </c>
      <c r="L32" s="61">
        <f t="shared" si="2"/>
        <v>0</v>
      </c>
      <c r="M32" s="61">
        <f t="shared" si="3"/>
        <v>47.5</v>
      </c>
    </row>
    <row r="33">
      <c r="A33" s="61"/>
      <c r="B33" s="108"/>
      <c r="C33" s="108"/>
      <c r="D33" s="23"/>
      <c r="E33" s="131"/>
      <c r="F33" s="28"/>
      <c r="G33" s="28"/>
      <c r="H33" s="112"/>
      <c r="I33" s="114"/>
      <c r="J33" s="114"/>
      <c r="K33" s="61">
        <f t="shared" ref="K33:K62" si="5">(H33+E33)/4</f>
        <v>0</v>
      </c>
      <c r="L33" s="61">
        <f t="shared" si="2"/>
        <v>0</v>
      </c>
      <c r="M33" s="61">
        <f t="shared" si="3"/>
        <v>0</v>
      </c>
    </row>
    <row r="34">
      <c r="A34" s="61"/>
      <c r="B34" s="23"/>
      <c r="C34" s="23"/>
      <c r="D34" s="23"/>
      <c r="E34" s="28"/>
      <c r="F34" s="28"/>
      <c r="G34" s="28"/>
      <c r="H34" s="47"/>
      <c r="I34" s="105"/>
      <c r="J34" s="105"/>
      <c r="K34" s="61">
        <f t="shared" si="5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105"/>
      <c r="I35" s="105"/>
      <c r="J35" s="105"/>
      <c r="K35" s="61">
        <f t="shared" si="5"/>
        <v>0</v>
      </c>
      <c r="L35" s="61">
        <f t="shared" si="2"/>
        <v>0</v>
      </c>
      <c r="M35" s="61">
        <f t="shared" si="3"/>
        <v>0</v>
      </c>
    </row>
    <row r="36">
      <c r="A36" s="32"/>
      <c r="B36" s="108"/>
      <c r="C36" s="108"/>
      <c r="D36" s="108"/>
      <c r="E36" s="28"/>
      <c r="F36" s="28"/>
      <c r="G36" s="28"/>
      <c r="H36" s="112"/>
      <c r="I36" s="114"/>
      <c r="J36" s="114"/>
      <c r="K36" s="61">
        <f t="shared" si="5"/>
        <v>0</v>
      </c>
      <c r="L36" s="61">
        <f t="shared" si="2"/>
        <v>0</v>
      </c>
      <c r="M36" s="61">
        <f t="shared" si="3"/>
        <v>0</v>
      </c>
    </row>
    <row r="37">
      <c r="A37" s="61"/>
      <c r="B37" s="23"/>
      <c r="C37" s="23"/>
      <c r="D37" s="23"/>
      <c r="E37" s="28"/>
      <c r="F37" s="28"/>
      <c r="G37" s="28"/>
      <c r="H37" s="101"/>
      <c r="I37" s="105"/>
      <c r="J37" s="105"/>
      <c r="K37" s="61">
        <f t="shared" si="5"/>
        <v>0</v>
      </c>
      <c r="L37" s="61">
        <f t="shared" si="2"/>
        <v>0</v>
      </c>
      <c r="M37" s="61">
        <f t="shared" si="3"/>
        <v>0</v>
      </c>
    </row>
    <row r="38">
      <c r="A38" s="61"/>
      <c r="B38" s="23"/>
      <c r="C38" s="23"/>
      <c r="D38" s="23"/>
      <c r="E38" s="28"/>
      <c r="F38" s="28"/>
      <c r="G38" s="28"/>
      <c r="H38" s="101"/>
      <c r="I38" s="105"/>
      <c r="J38" s="105"/>
      <c r="K38" s="61">
        <f t="shared" si="5"/>
        <v>0</v>
      </c>
      <c r="L38" s="61">
        <f t="shared" si="2"/>
        <v>0</v>
      </c>
      <c r="M38" s="61">
        <f t="shared" si="3"/>
        <v>0</v>
      </c>
    </row>
    <row r="39">
      <c r="A39" s="32"/>
      <c r="B39" s="108"/>
      <c r="C39" s="108"/>
      <c r="D39" s="108"/>
      <c r="E39" s="28"/>
      <c r="F39" s="28"/>
      <c r="G39" s="28"/>
      <c r="H39" s="114"/>
      <c r="I39" s="114"/>
      <c r="J39" s="114"/>
      <c r="K39" s="61">
        <f t="shared" si="5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2"/>
      <c r="I40" s="114"/>
      <c r="J40" s="114"/>
      <c r="K40" s="61">
        <f t="shared" si="5"/>
        <v>0</v>
      </c>
      <c r="L40" s="61">
        <f t="shared" si="2"/>
        <v>0</v>
      </c>
      <c r="M40" s="61">
        <f t="shared" si="3"/>
        <v>0</v>
      </c>
    </row>
    <row r="41">
      <c r="A41" s="32"/>
      <c r="B41" s="115"/>
      <c r="C41" s="115"/>
      <c r="D41" s="115"/>
      <c r="E41" s="118"/>
      <c r="F41" s="118"/>
      <c r="G41" s="118"/>
      <c r="H41" s="119"/>
      <c r="I41" s="119"/>
      <c r="J41" s="119"/>
      <c r="K41" s="61">
        <f t="shared" si="5"/>
        <v>0</v>
      </c>
      <c r="L41" s="61">
        <f t="shared" si="2"/>
        <v>0</v>
      </c>
      <c r="M41" s="61">
        <f t="shared" si="3"/>
        <v>0</v>
      </c>
    </row>
    <row r="42">
      <c r="A42" s="32"/>
      <c r="B42" s="23"/>
      <c r="C42" s="23"/>
      <c r="D42" s="23"/>
      <c r="E42" s="28"/>
      <c r="F42" s="28"/>
      <c r="G42" s="28"/>
      <c r="H42" s="101"/>
      <c r="I42" s="105"/>
      <c r="J42" s="105"/>
      <c r="K42" s="61">
        <f t="shared" si="5"/>
        <v>0</v>
      </c>
      <c r="L42" s="61">
        <f t="shared" si="2"/>
        <v>0</v>
      </c>
      <c r="M42" s="61">
        <f t="shared" si="3"/>
        <v>0</v>
      </c>
    </row>
    <row r="43">
      <c r="A43" s="61"/>
      <c r="B43" s="23"/>
      <c r="C43" s="23"/>
      <c r="D43" s="23"/>
      <c r="E43" s="28"/>
      <c r="F43" s="28"/>
      <c r="G43" s="28"/>
      <c r="H43" s="101"/>
      <c r="I43" s="105"/>
      <c r="J43" s="105"/>
      <c r="K43" s="61">
        <f t="shared" si="5"/>
        <v>0</v>
      </c>
      <c r="L43" s="61">
        <f t="shared" si="2"/>
        <v>0</v>
      </c>
      <c r="M43" s="61">
        <f t="shared" si="3"/>
        <v>0</v>
      </c>
    </row>
    <row r="44">
      <c r="A44" s="61"/>
      <c r="B44" s="115"/>
      <c r="C44" s="115"/>
      <c r="D44" s="115"/>
      <c r="E44" s="118"/>
      <c r="F44" s="120"/>
      <c r="G44" s="120"/>
      <c r="H44" s="119"/>
      <c r="I44" s="119"/>
      <c r="J44" s="119"/>
      <c r="K44" s="61">
        <f t="shared" si="5"/>
        <v>0</v>
      </c>
      <c r="L44" s="61">
        <f t="shared" si="2"/>
        <v>0</v>
      </c>
      <c r="M44" s="61">
        <f t="shared" si="3"/>
        <v>0</v>
      </c>
    </row>
    <row r="45">
      <c r="A45" s="32"/>
      <c r="B45" s="23"/>
      <c r="C45" s="23"/>
      <c r="D45" s="23"/>
      <c r="E45" s="28"/>
      <c r="F45" s="28"/>
      <c r="G45" s="28"/>
      <c r="H45" s="47"/>
      <c r="I45" s="105"/>
      <c r="J45" s="105"/>
      <c r="K45" s="61">
        <f t="shared" si="5"/>
        <v>0</v>
      </c>
      <c r="L45" s="61">
        <f t="shared" si="2"/>
        <v>0</v>
      </c>
      <c r="M45" s="61">
        <f t="shared" si="3"/>
        <v>0</v>
      </c>
    </row>
    <row r="46">
      <c r="A46" s="61"/>
      <c r="B46" s="108"/>
      <c r="C46" s="108"/>
      <c r="D46" s="108"/>
      <c r="E46" s="28"/>
      <c r="F46" s="28"/>
      <c r="G46" s="28"/>
      <c r="H46" s="114"/>
      <c r="I46" s="114"/>
      <c r="J46" s="114"/>
      <c r="K46" s="61">
        <f t="shared" si="5"/>
        <v>0</v>
      </c>
      <c r="L46" s="61">
        <f t="shared" si="2"/>
        <v>0</v>
      </c>
      <c r="M46" s="61">
        <f t="shared" si="3"/>
        <v>0</v>
      </c>
    </row>
    <row r="47">
      <c r="A47" s="61"/>
      <c r="B47" s="108"/>
      <c r="C47" s="108"/>
      <c r="D47" s="108"/>
      <c r="E47" s="28"/>
      <c r="F47" s="28"/>
      <c r="G47" s="28"/>
      <c r="H47" s="114"/>
      <c r="I47" s="114"/>
      <c r="J47" s="114"/>
      <c r="K47" s="61">
        <f t="shared" si="5"/>
        <v>0</v>
      </c>
      <c r="L47" s="61">
        <f t="shared" si="2"/>
        <v>0</v>
      </c>
      <c r="M47" s="61">
        <f t="shared" si="3"/>
        <v>0</v>
      </c>
    </row>
    <row r="48">
      <c r="A48" s="32"/>
      <c r="B48" s="31"/>
      <c r="C48" s="31"/>
      <c r="D48" s="31"/>
      <c r="E48" s="28"/>
      <c r="F48" s="28"/>
      <c r="G48" s="28"/>
      <c r="H48" s="112"/>
      <c r="I48" s="114"/>
      <c r="J48" s="114"/>
      <c r="K48" s="61">
        <f t="shared" si="5"/>
        <v>0</v>
      </c>
      <c r="L48" s="61">
        <f t="shared" si="2"/>
        <v>0</v>
      </c>
      <c r="M48" s="61">
        <f t="shared" si="3"/>
        <v>0</v>
      </c>
    </row>
    <row r="49">
      <c r="A49" s="32"/>
      <c r="B49" s="115"/>
      <c r="C49" s="115"/>
      <c r="D49" s="115"/>
      <c r="E49" s="118"/>
      <c r="F49" s="120"/>
      <c r="G49" s="120"/>
      <c r="H49" s="119"/>
      <c r="I49" s="119"/>
      <c r="J49" s="119"/>
      <c r="K49" s="61">
        <f t="shared" si="5"/>
        <v>0</v>
      </c>
      <c r="L49" s="61">
        <f t="shared" si="2"/>
        <v>0</v>
      </c>
      <c r="M49" s="61">
        <f t="shared" si="3"/>
        <v>0</v>
      </c>
    </row>
    <row r="50">
      <c r="A50" s="61"/>
      <c r="B50" s="108"/>
      <c r="C50" s="108"/>
      <c r="D50" s="108"/>
      <c r="E50" s="28"/>
      <c r="F50" s="28"/>
      <c r="G50" s="28"/>
      <c r="H50" s="114"/>
      <c r="I50" s="114"/>
      <c r="J50" s="114"/>
      <c r="K50" s="61">
        <f t="shared" si="5"/>
        <v>0</v>
      </c>
      <c r="L50" s="61">
        <f t="shared" si="2"/>
        <v>0</v>
      </c>
      <c r="M50" s="61">
        <f t="shared" si="3"/>
        <v>0</v>
      </c>
    </row>
    <row r="51">
      <c r="A51" s="32"/>
      <c r="B51" s="31"/>
      <c r="C51" s="31"/>
      <c r="D51" s="31"/>
      <c r="E51" s="28"/>
      <c r="F51" s="28"/>
      <c r="G51" s="28"/>
      <c r="H51" s="112"/>
      <c r="I51" s="114"/>
      <c r="J51" s="114"/>
      <c r="K51" s="61">
        <f t="shared" si="5"/>
        <v>0</v>
      </c>
      <c r="L51" s="61">
        <f t="shared" si="2"/>
        <v>0</v>
      </c>
      <c r="M51" s="61">
        <f t="shared" si="3"/>
        <v>0</v>
      </c>
    </row>
    <row r="52">
      <c r="A52" s="61"/>
      <c r="B52" s="23"/>
      <c r="C52" s="23"/>
      <c r="D52" s="23"/>
      <c r="E52" s="28"/>
      <c r="F52" s="28"/>
      <c r="G52" s="28"/>
      <c r="H52" s="105"/>
      <c r="I52" s="105"/>
      <c r="J52" s="105"/>
      <c r="K52" s="61">
        <f t="shared" si="5"/>
        <v>0</v>
      </c>
      <c r="L52" s="61">
        <f t="shared" si="2"/>
        <v>0</v>
      </c>
      <c r="M52" s="61">
        <f t="shared" si="3"/>
        <v>0</v>
      </c>
    </row>
    <row r="53">
      <c r="A53" s="61"/>
      <c r="B53" s="108"/>
      <c r="C53" s="121"/>
      <c r="D53" s="121"/>
      <c r="E53" s="28"/>
      <c r="F53" s="28"/>
      <c r="G53" s="28"/>
      <c r="H53" s="114"/>
      <c r="I53" s="114"/>
      <c r="J53" s="114"/>
      <c r="K53" s="61">
        <f t="shared" si="5"/>
        <v>0</v>
      </c>
      <c r="L53" s="61">
        <f t="shared" si="2"/>
        <v>0</v>
      </c>
      <c r="M53" s="61">
        <f t="shared" si="3"/>
        <v>0</v>
      </c>
    </row>
    <row r="54">
      <c r="A54" s="61"/>
      <c r="B54" s="115"/>
      <c r="C54" s="115"/>
      <c r="D54" s="115"/>
      <c r="E54" s="118"/>
      <c r="F54" s="120"/>
      <c r="G54" s="120"/>
      <c r="H54" s="119"/>
      <c r="I54" s="119"/>
      <c r="J54" s="119"/>
      <c r="K54" s="61">
        <f t="shared" si="5"/>
        <v>0</v>
      </c>
      <c r="L54" s="61">
        <f t="shared" si="2"/>
        <v>0</v>
      </c>
      <c r="M54" s="61">
        <f t="shared" si="3"/>
        <v>0</v>
      </c>
    </row>
    <row r="55">
      <c r="A55" s="32"/>
      <c r="B55" s="23"/>
      <c r="C55" s="23"/>
      <c r="D55" s="23"/>
      <c r="E55" s="28"/>
      <c r="F55" s="28"/>
      <c r="G55" s="28"/>
      <c r="H55" s="105"/>
      <c r="I55" s="105"/>
      <c r="J55" s="105"/>
      <c r="K55" s="61">
        <f t="shared" si="5"/>
        <v>0</v>
      </c>
      <c r="L55" s="61">
        <f t="shared" si="2"/>
        <v>0</v>
      </c>
      <c r="M55" s="61">
        <f t="shared" si="3"/>
        <v>0</v>
      </c>
    </row>
    <row r="56">
      <c r="A56" s="32"/>
      <c r="B56" s="115"/>
      <c r="C56" s="115"/>
      <c r="D56" s="115"/>
      <c r="E56" s="118"/>
      <c r="F56" s="120"/>
      <c r="G56" s="120"/>
      <c r="H56" s="119"/>
      <c r="I56" s="119"/>
      <c r="J56" s="119"/>
      <c r="K56" s="61">
        <f t="shared" si="5"/>
        <v>0</v>
      </c>
      <c r="L56" s="61">
        <f t="shared" si="2"/>
        <v>0</v>
      </c>
      <c r="M56" s="61">
        <f t="shared" si="3"/>
        <v>0</v>
      </c>
    </row>
    <row r="57">
      <c r="A57" s="61"/>
      <c r="B57" s="108"/>
      <c r="C57" s="108"/>
      <c r="D57" s="108"/>
      <c r="E57" s="28"/>
      <c r="F57" s="28"/>
      <c r="G57" s="28"/>
      <c r="H57" s="114"/>
      <c r="I57" s="114"/>
      <c r="J57" s="114"/>
      <c r="K57" s="61">
        <f t="shared" si="5"/>
        <v>0</v>
      </c>
      <c r="L57" s="61">
        <f t="shared" si="2"/>
        <v>0</v>
      </c>
      <c r="M57" s="61">
        <f t="shared" si="3"/>
        <v>0</v>
      </c>
    </row>
    <row r="58">
      <c r="A58" s="32"/>
      <c r="B58" s="31"/>
      <c r="C58" s="31"/>
      <c r="D58" s="31"/>
      <c r="E58" s="28"/>
      <c r="F58" s="28"/>
      <c r="G58" s="28"/>
      <c r="H58" s="112"/>
      <c r="I58" s="114"/>
      <c r="J58" s="114"/>
      <c r="K58" s="61">
        <f t="shared" si="5"/>
        <v>0</v>
      </c>
      <c r="L58" s="61">
        <f t="shared" si="2"/>
        <v>0</v>
      </c>
      <c r="M58" s="61">
        <f t="shared" si="3"/>
        <v>0</v>
      </c>
    </row>
    <row r="59">
      <c r="A59" s="61"/>
      <c r="B59" s="23"/>
      <c r="C59" s="23"/>
      <c r="D59" s="23"/>
      <c r="E59" s="28"/>
      <c r="F59" s="28"/>
      <c r="G59" s="28"/>
      <c r="H59" s="105"/>
      <c r="I59" s="105"/>
      <c r="J59" s="105"/>
      <c r="K59" s="61">
        <f t="shared" si="5"/>
        <v>0</v>
      </c>
      <c r="L59" s="61">
        <f t="shared" si="2"/>
        <v>0</v>
      </c>
      <c r="M59" s="61">
        <f t="shared" si="3"/>
        <v>0</v>
      </c>
    </row>
    <row r="60">
      <c r="A60" s="32"/>
      <c r="B60" s="108"/>
      <c r="C60" s="108"/>
      <c r="D60" s="108"/>
      <c r="E60" s="28"/>
      <c r="F60" s="28"/>
      <c r="G60" s="28"/>
      <c r="H60" s="112"/>
      <c r="I60" s="114"/>
      <c r="J60" s="114"/>
      <c r="K60" s="61">
        <f t="shared" si="5"/>
        <v>0</v>
      </c>
      <c r="L60" s="61">
        <f t="shared" si="2"/>
        <v>0</v>
      </c>
      <c r="M60" s="61">
        <f t="shared" si="3"/>
        <v>0</v>
      </c>
    </row>
    <row r="61">
      <c r="A61" s="61"/>
      <c r="B61" s="23"/>
      <c r="C61" s="23"/>
      <c r="D61" s="23"/>
      <c r="E61" s="28"/>
      <c r="F61" s="28"/>
      <c r="G61" s="28"/>
      <c r="H61" s="105"/>
      <c r="I61" s="105"/>
      <c r="J61" s="105"/>
      <c r="K61" s="61">
        <f t="shared" si="5"/>
        <v>0</v>
      </c>
      <c r="L61" s="61">
        <f t="shared" si="2"/>
        <v>0</v>
      </c>
      <c r="M61" s="61">
        <f t="shared" si="3"/>
        <v>0</v>
      </c>
    </row>
    <row r="62">
      <c r="A62" s="32"/>
      <c r="B62" s="31"/>
      <c r="C62" s="31"/>
      <c r="D62" s="31"/>
      <c r="E62" s="28"/>
      <c r="F62" s="28"/>
      <c r="G62" s="28"/>
      <c r="H62" s="112"/>
      <c r="I62" s="114"/>
      <c r="J62" s="114"/>
      <c r="K62" s="61">
        <f t="shared" si="5"/>
        <v>0</v>
      </c>
      <c r="L62" s="61">
        <f t="shared" si="2"/>
        <v>0</v>
      </c>
      <c r="M62" s="61">
        <f t="shared" si="3"/>
        <v>0</v>
      </c>
    </row>
    <row r="63">
      <c r="A63" s="32"/>
      <c r="B63" s="23" t="s">
        <v>286</v>
      </c>
      <c r="C63" s="23" t="s">
        <v>15</v>
      </c>
      <c r="D63" s="23"/>
      <c r="E63" s="28">
        <v>487.0</v>
      </c>
      <c r="F63" s="28"/>
      <c r="G63" s="28"/>
      <c r="H63" s="29"/>
      <c r="I63" s="17"/>
      <c r="J63" s="17"/>
      <c r="K63" s="61"/>
      <c r="L63" s="61"/>
      <c r="M63" s="61"/>
    </row>
  </sheetData>
  <autoFilter ref="$A$4:$M$63">
    <sortState ref="A4:M63">
      <sortCondition descending="1" ref="M4:M63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4" width="6.0"/>
    <col customWidth="1" min="15" max="16" width="5.25"/>
    <col customWidth="1" min="18" max="18" width="13.63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132" t="s">
        <v>2</v>
      </c>
      <c r="L3" s="5"/>
      <c r="M3" s="6"/>
      <c r="N3" s="9" t="s">
        <v>3</v>
      </c>
      <c r="O3" s="5"/>
      <c r="P3" s="6"/>
      <c r="Q3" s="10"/>
      <c r="R3" s="10"/>
      <c r="S3" s="3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46" t="s">
        <v>8</v>
      </c>
      <c r="L4" s="46" t="s">
        <v>9</v>
      </c>
      <c r="M4" s="46" t="s">
        <v>10</v>
      </c>
      <c r="N4" s="17" t="s">
        <v>8</v>
      </c>
      <c r="O4" s="17" t="s">
        <v>9</v>
      </c>
      <c r="P4" s="17" t="s">
        <v>10</v>
      </c>
      <c r="Q4" s="18" t="s">
        <v>11</v>
      </c>
      <c r="R4" s="19" t="s">
        <v>12</v>
      </c>
      <c r="S4" s="20" t="s">
        <v>13</v>
      </c>
    </row>
    <row r="5">
      <c r="A5" s="21">
        <v>1.0</v>
      </c>
      <c r="B5" s="22" t="s">
        <v>287</v>
      </c>
      <c r="C5" s="22" t="s">
        <v>288</v>
      </c>
      <c r="D5" s="23" t="s">
        <v>21</v>
      </c>
      <c r="E5" s="43">
        <v>704.0</v>
      </c>
      <c r="F5" s="14"/>
      <c r="G5" s="43">
        <v>100.0</v>
      </c>
      <c r="H5" s="44">
        <v>703.0</v>
      </c>
      <c r="I5" s="15"/>
      <c r="J5" s="44">
        <v>100.0</v>
      </c>
      <c r="K5" s="28">
        <v>698.0</v>
      </c>
      <c r="L5" s="28">
        <v>1.0</v>
      </c>
      <c r="M5" s="28">
        <v>100.0</v>
      </c>
      <c r="N5" s="29">
        <v>696.0</v>
      </c>
      <c r="O5" s="29"/>
      <c r="P5" s="29">
        <v>100.0</v>
      </c>
      <c r="Q5" s="30">
        <f t="shared" ref="Q5:Q41" si="1">(E5+H5+N5+K5)/4</f>
        <v>700.25</v>
      </c>
      <c r="R5" s="48">
        <f t="shared" ref="R5:R41" si="2">G5+J5+P5+M5</f>
        <v>400</v>
      </c>
      <c r="S5" s="2">
        <f t="shared" ref="S5:S41" si="3">Q5+R5</f>
        <v>1100.25</v>
      </c>
    </row>
    <row r="6">
      <c r="A6" s="32">
        <v>2.0</v>
      </c>
      <c r="B6" s="133" t="s">
        <v>289</v>
      </c>
      <c r="C6" s="59" t="s">
        <v>18</v>
      </c>
      <c r="D6" s="33" t="s">
        <v>290</v>
      </c>
      <c r="E6" s="43">
        <v>706.0</v>
      </c>
      <c r="F6" s="14"/>
      <c r="G6" s="43">
        <v>100.0</v>
      </c>
      <c r="H6" s="44">
        <v>703.0</v>
      </c>
      <c r="I6" s="15"/>
      <c r="J6" s="44">
        <v>100.0</v>
      </c>
      <c r="K6" s="28">
        <v>700.0</v>
      </c>
      <c r="L6" s="28">
        <v>3.0</v>
      </c>
      <c r="M6" s="28">
        <v>80.0</v>
      </c>
      <c r="N6" s="29">
        <v>695.0</v>
      </c>
      <c r="O6" s="29"/>
      <c r="P6" s="29">
        <v>100.0</v>
      </c>
      <c r="Q6" s="30">
        <f t="shared" si="1"/>
        <v>701</v>
      </c>
      <c r="R6" s="48">
        <f t="shared" si="2"/>
        <v>380</v>
      </c>
      <c r="S6" s="2">
        <f t="shared" si="3"/>
        <v>1081</v>
      </c>
    </row>
    <row r="7">
      <c r="A7" s="21">
        <v>3.0</v>
      </c>
      <c r="B7" s="23" t="s">
        <v>291</v>
      </c>
      <c r="C7" s="23" t="s">
        <v>36</v>
      </c>
      <c r="D7" s="23" t="s">
        <v>34</v>
      </c>
      <c r="E7" s="43">
        <v>678.0</v>
      </c>
      <c r="F7" s="14"/>
      <c r="G7" s="43">
        <v>100.0</v>
      </c>
      <c r="H7" s="44">
        <v>704.0</v>
      </c>
      <c r="I7" s="15"/>
      <c r="J7" s="44">
        <v>100.0</v>
      </c>
      <c r="K7" s="28">
        <v>692.0</v>
      </c>
      <c r="L7" s="28">
        <v>4.0</v>
      </c>
      <c r="M7" s="28">
        <v>70.0</v>
      </c>
      <c r="N7" s="29">
        <v>704.0</v>
      </c>
      <c r="O7" s="29"/>
      <c r="P7" s="29">
        <v>100.0</v>
      </c>
      <c r="Q7" s="30">
        <f t="shared" si="1"/>
        <v>694.5</v>
      </c>
      <c r="R7" s="48">
        <f t="shared" si="2"/>
        <v>370</v>
      </c>
      <c r="S7" s="2">
        <f t="shared" si="3"/>
        <v>1064.5</v>
      </c>
    </row>
    <row r="8">
      <c r="A8" s="32">
        <v>4.0</v>
      </c>
      <c r="B8" s="23" t="s">
        <v>292</v>
      </c>
      <c r="C8" s="23" t="s">
        <v>44</v>
      </c>
      <c r="D8" s="23" t="s">
        <v>86</v>
      </c>
      <c r="E8" s="43">
        <v>700.0</v>
      </c>
      <c r="F8" s="14"/>
      <c r="G8" s="43">
        <v>100.0</v>
      </c>
      <c r="H8" s="44">
        <v>695.0</v>
      </c>
      <c r="I8" s="15"/>
      <c r="J8" s="44">
        <v>100.0</v>
      </c>
      <c r="K8" s="28">
        <v>701.0</v>
      </c>
      <c r="L8" s="28">
        <v>5.0</v>
      </c>
      <c r="M8" s="28">
        <v>60.0</v>
      </c>
      <c r="N8" s="29">
        <v>696.0</v>
      </c>
      <c r="O8" s="29">
        <v>1.0</v>
      </c>
      <c r="P8" s="29">
        <v>100.0</v>
      </c>
      <c r="Q8" s="30">
        <f t="shared" si="1"/>
        <v>698</v>
      </c>
      <c r="R8" s="48">
        <f t="shared" si="2"/>
        <v>360</v>
      </c>
      <c r="S8" s="2">
        <f t="shared" si="3"/>
        <v>1058</v>
      </c>
    </row>
    <row r="9">
      <c r="A9" s="21">
        <v>5.0</v>
      </c>
      <c r="B9" s="23" t="s">
        <v>293</v>
      </c>
      <c r="C9" s="23" t="s">
        <v>15</v>
      </c>
      <c r="D9" s="23"/>
      <c r="E9" s="24">
        <v>699.0</v>
      </c>
      <c r="F9" s="24">
        <v>1.0</v>
      </c>
      <c r="G9" s="43">
        <v>100.0</v>
      </c>
      <c r="H9" s="26">
        <v>699.0</v>
      </c>
      <c r="I9" s="26">
        <v>1.0</v>
      </c>
      <c r="J9" s="44">
        <v>100.0</v>
      </c>
      <c r="K9" s="28">
        <v>689.0</v>
      </c>
      <c r="L9" s="28">
        <v>8.0</v>
      </c>
      <c r="M9" s="28">
        <v>30.0</v>
      </c>
      <c r="N9" s="29">
        <v>677.0</v>
      </c>
      <c r="O9" s="45">
        <v>4.0</v>
      </c>
      <c r="P9" s="45">
        <v>70.0</v>
      </c>
      <c r="Q9" s="30">
        <f t="shared" si="1"/>
        <v>691</v>
      </c>
      <c r="R9" s="48">
        <f t="shared" si="2"/>
        <v>300</v>
      </c>
      <c r="S9" s="2">
        <f t="shared" si="3"/>
        <v>991</v>
      </c>
    </row>
    <row r="10">
      <c r="A10" s="32">
        <v>6.0</v>
      </c>
      <c r="B10" s="23" t="s">
        <v>294</v>
      </c>
      <c r="C10" s="23" t="s">
        <v>15</v>
      </c>
      <c r="D10" s="23" t="s">
        <v>34</v>
      </c>
      <c r="E10" s="24">
        <v>671.0</v>
      </c>
      <c r="F10" s="24">
        <v>3.0</v>
      </c>
      <c r="G10" s="43">
        <v>80.0</v>
      </c>
      <c r="H10" s="44">
        <v>689.0</v>
      </c>
      <c r="I10" s="26">
        <v>3.0</v>
      </c>
      <c r="J10" s="26">
        <v>80.0</v>
      </c>
      <c r="K10" s="28">
        <v>694.0</v>
      </c>
      <c r="L10" s="28">
        <v>6.0</v>
      </c>
      <c r="M10" s="28">
        <v>50.0</v>
      </c>
      <c r="N10" s="29">
        <v>687.0</v>
      </c>
      <c r="O10" s="45">
        <v>2.0</v>
      </c>
      <c r="P10" s="45">
        <v>90.0</v>
      </c>
      <c r="Q10" s="30">
        <f t="shared" si="1"/>
        <v>685.25</v>
      </c>
      <c r="R10" s="48">
        <f t="shared" si="2"/>
        <v>300</v>
      </c>
      <c r="S10" s="2">
        <f t="shared" si="3"/>
        <v>985.25</v>
      </c>
    </row>
    <row r="11">
      <c r="A11" s="21">
        <v>7.0</v>
      </c>
      <c r="B11" s="134" t="s">
        <v>295</v>
      </c>
      <c r="C11" s="23" t="s">
        <v>18</v>
      </c>
      <c r="D11" s="23" t="s">
        <v>296</v>
      </c>
      <c r="E11" s="24">
        <v>684.0</v>
      </c>
      <c r="F11" s="24">
        <v>2.0</v>
      </c>
      <c r="G11" s="43">
        <v>90.0</v>
      </c>
      <c r="H11" s="44">
        <v>686.0</v>
      </c>
      <c r="I11" s="26">
        <v>4.0</v>
      </c>
      <c r="J11" s="26">
        <v>70.0</v>
      </c>
      <c r="K11" s="28">
        <v>684.0</v>
      </c>
      <c r="L11" s="28">
        <v>2.0</v>
      </c>
      <c r="M11" s="28">
        <v>90.0</v>
      </c>
      <c r="N11" s="29">
        <v>668.0</v>
      </c>
      <c r="O11" s="45">
        <v>6.0</v>
      </c>
      <c r="P11" s="45">
        <v>50.0</v>
      </c>
      <c r="Q11" s="30">
        <f t="shared" si="1"/>
        <v>680.5</v>
      </c>
      <c r="R11" s="48">
        <f t="shared" si="2"/>
        <v>300</v>
      </c>
      <c r="S11" s="2">
        <f t="shared" si="3"/>
        <v>980.5</v>
      </c>
    </row>
    <row r="12">
      <c r="A12" s="32">
        <v>8.0</v>
      </c>
      <c r="B12" s="23" t="s">
        <v>297</v>
      </c>
      <c r="C12" s="23" t="s">
        <v>32</v>
      </c>
      <c r="D12" s="23"/>
      <c r="E12" s="24">
        <v>660.0</v>
      </c>
      <c r="F12" s="24">
        <v>6.0</v>
      </c>
      <c r="G12" s="24">
        <v>50.0</v>
      </c>
      <c r="H12" s="26">
        <v>693.0</v>
      </c>
      <c r="I12" s="26">
        <v>8.0</v>
      </c>
      <c r="J12" s="26">
        <v>30.0</v>
      </c>
      <c r="K12" s="28">
        <v>689.0</v>
      </c>
      <c r="L12" s="28">
        <v>7.0</v>
      </c>
      <c r="M12" s="28">
        <v>40.0</v>
      </c>
      <c r="N12" s="29">
        <v>676.0</v>
      </c>
      <c r="O12" s="45">
        <v>3.0</v>
      </c>
      <c r="P12" s="45">
        <v>80.0</v>
      </c>
      <c r="Q12" s="30">
        <f t="shared" si="1"/>
        <v>679.5</v>
      </c>
      <c r="R12" s="48">
        <f t="shared" si="2"/>
        <v>200</v>
      </c>
      <c r="S12" s="2">
        <f t="shared" si="3"/>
        <v>879.5</v>
      </c>
    </row>
    <row r="13">
      <c r="A13" s="21">
        <v>9.0</v>
      </c>
      <c r="B13" s="23" t="s">
        <v>298</v>
      </c>
      <c r="C13" s="23" t="s">
        <v>15</v>
      </c>
      <c r="D13" s="23" t="s">
        <v>21</v>
      </c>
      <c r="E13" s="24">
        <v>673.0</v>
      </c>
      <c r="F13" s="24">
        <v>5.0</v>
      </c>
      <c r="G13" s="43">
        <v>60.0</v>
      </c>
      <c r="H13" s="26">
        <v>679.0</v>
      </c>
      <c r="I13" s="26">
        <v>2.0</v>
      </c>
      <c r="J13" s="44">
        <v>90.0</v>
      </c>
      <c r="K13" s="28">
        <v>686.0</v>
      </c>
      <c r="L13" s="28"/>
      <c r="M13" s="28"/>
      <c r="N13" s="29">
        <v>667.0</v>
      </c>
      <c r="O13" s="17"/>
      <c r="P13" s="17"/>
      <c r="Q13" s="30">
        <f t="shared" si="1"/>
        <v>676.25</v>
      </c>
      <c r="R13" s="48">
        <f t="shared" si="2"/>
        <v>150</v>
      </c>
      <c r="S13" s="2">
        <f t="shared" si="3"/>
        <v>826.25</v>
      </c>
    </row>
    <row r="14">
      <c r="A14" s="32">
        <v>10.0</v>
      </c>
      <c r="B14" s="23" t="s">
        <v>299</v>
      </c>
      <c r="C14" s="23" t="s">
        <v>44</v>
      </c>
      <c r="D14" s="23" t="s">
        <v>40</v>
      </c>
      <c r="E14" s="24">
        <v>686.0</v>
      </c>
      <c r="F14" s="24">
        <v>8.0</v>
      </c>
      <c r="G14" s="43">
        <v>30.0</v>
      </c>
      <c r="H14" s="26">
        <v>683.0</v>
      </c>
      <c r="I14" s="26">
        <v>6.0</v>
      </c>
      <c r="J14" s="44">
        <v>50.0</v>
      </c>
      <c r="K14" s="28">
        <v>683.0</v>
      </c>
      <c r="L14" s="28"/>
      <c r="M14" s="28"/>
      <c r="N14" s="29">
        <v>668.0</v>
      </c>
      <c r="O14" s="45">
        <v>5.0</v>
      </c>
      <c r="P14" s="45">
        <v>60.0</v>
      </c>
      <c r="Q14" s="30">
        <f t="shared" si="1"/>
        <v>680</v>
      </c>
      <c r="R14" s="48">
        <f t="shared" si="2"/>
        <v>140</v>
      </c>
      <c r="S14" s="2">
        <f t="shared" si="3"/>
        <v>820</v>
      </c>
    </row>
    <row r="15">
      <c r="A15" s="21">
        <v>11.0</v>
      </c>
      <c r="B15" s="23" t="s">
        <v>300</v>
      </c>
      <c r="C15" s="23" t="s">
        <v>18</v>
      </c>
      <c r="D15" s="23" t="s">
        <v>21</v>
      </c>
      <c r="E15" s="24">
        <v>655.0</v>
      </c>
      <c r="F15" s="24">
        <v>7.0</v>
      </c>
      <c r="G15" s="24">
        <v>40.0</v>
      </c>
      <c r="H15" s="26">
        <v>671.0</v>
      </c>
      <c r="I15" s="27"/>
      <c r="J15" s="15"/>
      <c r="K15" s="28">
        <v>677.0</v>
      </c>
      <c r="L15" s="28"/>
      <c r="M15" s="28"/>
      <c r="N15" s="29">
        <v>676.0</v>
      </c>
      <c r="O15" s="29">
        <v>8.0</v>
      </c>
      <c r="P15" s="29">
        <v>30.0</v>
      </c>
      <c r="Q15" s="30">
        <f t="shared" si="1"/>
        <v>669.75</v>
      </c>
      <c r="R15" s="48">
        <f t="shared" si="2"/>
        <v>70</v>
      </c>
      <c r="S15" s="2">
        <f t="shared" si="3"/>
        <v>739.75</v>
      </c>
    </row>
    <row r="16">
      <c r="A16" s="32">
        <v>12.0</v>
      </c>
      <c r="B16" s="23" t="s">
        <v>301</v>
      </c>
      <c r="C16" s="23" t="s">
        <v>18</v>
      </c>
      <c r="D16" s="23" t="s">
        <v>21</v>
      </c>
      <c r="E16" s="24">
        <v>672.0</v>
      </c>
      <c r="F16" s="25"/>
      <c r="G16" s="25"/>
      <c r="H16" s="26">
        <v>672.0</v>
      </c>
      <c r="I16" s="26">
        <v>5.0</v>
      </c>
      <c r="J16" s="26">
        <v>60.0</v>
      </c>
      <c r="K16" s="28">
        <v>672.0</v>
      </c>
      <c r="L16" s="28"/>
      <c r="M16" s="28"/>
      <c r="N16" s="29">
        <v>662.0</v>
      </c>
      <c r="O16" s="47"/>
      <c r="P16" s="47"/>
      <c r="Q16" s="30">
        <f t="shared" si="1"/>
        <v>669.5</v>
      </c>
      <c r="R16" s="48">
        <f t="shared" si="2"/>
        <v>60</v>
      </c>
      <c r="S16" s="2">
        <f t="shared" si="3"/>
        <v>729.5</v>
      </c>
    </row>
    <row r="17">
      <c r="A17" s="21">
        <v>13.0</v>
      </c>
      <c r="B17" s="23" t="s">
        <v>302</v>
      </c>
      <c r="C17" s="23" t="s">
        <v>36</v>
      </c>
      <c r="D17" s="23" t="s">
        <v>34</v>
      </c>
      <c r="E17" s="24">
        <v>656.0</v>
      </c>
      <c r="F17" s="25"/>
      <c r="G17" s="25"/>
      <c r="H17" s="26">
        <v>682.0</v>
      </c>
      <c r="I17" s="27"/>
      <c r="J17" s="15"/>
      <c r="K17" s="28">
        <v>677.0</v>
      </c>
      <c r="L17" s="28"/>
      <c r="M17" s="28"/>
      <c r="N17" s="29">
        <v>669.0</v>
      </c>
      <c r="O17" s="29">
        <v>7.0</v>
      </c>
      <c r="P17" s="29">
        <v>40.0</v>
      </c>
      <c r="Q17" s="30">
        <f t="shared" si="1"/>
        <v>671</v>
      </c>
      <c r="R17" s="48">
        <f t="shared" si="2"/>
        <v>40</v>
      </c>
      <c r="S17" s="2">
        <f t="shared" si="3"/>
        <v>711</v>
      </c>
    </row>
    <row r="18">
      <c r="A18" s="32">
        <v>14.0</v>
      </c>
      <c r="B18" s="23" t="s">
        <v>303</v>
      </c>
      <c r="C18" s="23" t="s">
        <v>44</v>
      </c>
      <c r="D18" s="23" t="s">
        <v>40</v>
      </c>
      <c r="E18" s="24">
        <v>671.0</v>
      </c>
      <c r="F18" s="25"/>
      <c r="G18" s="14"/>
      <c r="H18" s="44">
        <v>643.0</v>
      </c>
      <c r="I18" s="27"/>
      <c r="J18" s="27"/>
      <c r="K18" s="28">
        <v>643.0</v>
      </c>
      <c r="L18" s="28"/>
      <c r="M18" s="28"/>
      <c r="N18" s="29">
        <v>660.0</v>
      </c>
      <c r="O18" s="17"/>
      <c r="P18" s="17"/>
      <c r="Q18" s="30">
        <f t="shared" si="1"/>
        <v>654.25</v>
      </c>
      <c r="R18" s="48">
        <f t="shared" si="2"/>
        <v>0</v>
      </c>
      <c r="S18" s="2">
        <f t="shared" si="3"/>
        <v>654.25</v>
      </c>
    </row>
    <row r="19">
      <c r="A19" s="21">
        <v>15.0</v>
      </c>
      <c r="B19" s="23" t="s">
        <v>304</v>
      </c>
      <c r="C19" s="23" t="s">
        <v>18</v>
      </c>
      <c r="D19" s="23"/>
      <c r="E19" s="24">
        <v>665.0</v>
      </c>
      <c r="F19" s="24">
        <v>4.0</v>
      </c>
      <c r="G19" s="24">
        <v>70.0</v>
      </c>
      <c r="H19" s="26">
        <v>671.0</v>
      </c>
      <c r="I19" s="27"/>
      <c r="J19" s="26"/>
      <c r="K19" s="28">
        <v>661.0</v>
      </c>
      <c r="L19" s="28"/>
      <c r="M19" s="28"/>
      <c r="N19" s="29"/>
      <c r="O19" s="17"/>
      <c r="P19" s="17"/>
      <c r="Q19" s="30">
        <f t="shared" si="1"/>
        <v>499.25</v>
      </c>
      <c r="R19" s="48">
        <f t="shared" si="2"/>
        <v>70</v>
      </c>
      <c r="S19" s="2">
        <f t="shared" si="3"/>
        <v>569.25</v>
      </c>
    </row>
    <row r="20">
      <c r="A20" s="32">
        <v>16.0</v>
      </c>
      <c r="B20" s="22" t="s">
        <v>305</v>
      </c>
      <c r="C20" s="22" t="s">
        <v>168</v>
      </c>
      <c r="D20" s="22"/>
      <c r="E20" s="24">
        <v>632.0</v>
      </c>
      <c r="F20" s="25"/>
      <c r="G20" s="25"/>
      <c r="H20" s="27"/>
      <c r="I20" s="27"/>
      <c r="J20" s="15"/>
      <c r="K20" s="28">
        <v>639.0</v>
      </c>
      <c r="L20" s="28"/>
      <c r="M20" s="28"/>
      <c r="N20" s="29"/>
      <c r="O20" s="47"/>
      <c r="P20" s="47"/>
      <c r="Q20" s="30">
        <f t="shared" si="1"/>
        <v>317.75</v>
      </c>
      <c r="R20" s="48">
        <f t="shared" si="2"/>
        <v>0</v>
      </c>
      <c r="S20" s="2">
        <f t="shared" si="3"/>
        <v>317.75</v>
      </c>
    </row>
    <row r="21">
      <c r="A21" s="21">
        <v>17.0</v>
      </c>
      <c r="B21" s="23" t="s">
        <v>306</v>
      </c>
      <c r="C21" s="23" t="s">
        <v>67</v>
      </c>
      <c r="D21" s="23"/>
      <c r="E21" s="24">
        <v>610.0</v>
      </c>
      <c r="F21" s="25"/>
      <c r="G21" s="25"/>
      <c r="H21" s="26">
        <v>652.0</v>
      </c>
      <c r="I21" s="27"/>
      <c r="J21" s="15"/>
      <c r="K21" s="28"/>
      <c r="L21" s="28"/>
      <c r="M21" s="28"/>
      <c r="N21" s="29"/>
      <c r="O21" s="47"/>
      <c r="P21" s="47"/>
      <c r="Q21" s="30">
        <f t="shared" si="1"/>
        <v>315.5</v>
      </c>
      <c r="R21" s="48">
        <f t="shared" si="2"/>
        <v>0</v>
      </c>
      <c r="S21" s="2">
        <f t="shared" si="3"/>
        <v>315.5</v>
      </c>
    </row>
    <row r="22">
      <c r="A22" s="32">
        <v>18.0</v>
      </c>
      <c r="B22" s="23" t="s">
        <v>307</v>
      </c>
      <c r="C22" s="23" t="s">
        <v>15</v>
      </c>
      <c r="D22" s="23"/>
      <c r="E22" s="24">
        <v>607.0</v>
      </c>
      <c r="F22" s="25"/>
      <c r="G22" s="25"/>
      <c r="H22" s="26">
        <v>632.0</v>
      </c>
      <c r="I22" s="27"/>
      <c r="J22" s="27"/>
      <c r="K22" s="48"/>
      <c r="L22" s="48"/>
      <c r="M22" s="48"/>
      <c r="N22" s="47"/>
      <c r="O22" s="47"/>
      <c r="P22" s="47"/>
      <c r="Q22" s="30">
        <f t="shared" si="1"/>
        <v>309.75</v>
      </c>
      <c r="R22" s="48">
        <f t="shared" si="2"/>
        <v>0</v>
      </c>
      <c r="S22" s="2">
        <f t="shared" si="3"/>
        <v>309.75</v>
      </c>
    </row>
    <row r="23">
      <c r="A23" s="21">
        <v>19.0</v>
      </c>
      <c r="B23" s="22" t="s">
        <v>308</v>
      </c>
      <c r="C23" s="22" t="s">
        <v>32</v>
      </c>
      <c r="D23" s="22"/>
      <c r="E23" s="25"/>
      <c r="F23" s="25"/>
      <c r="G23" s="25"/>
      <c r="H23" s="26">
        <v>603.0</v>
      </c>
      <c r="I23" s="27"/>
      <c r="J23" s="27"/>
      <c r="K23" s="28">
        <v>606.0</v>
      </c>
      <c r="L23" s="28"/>
      <c r="M23" s="28"/>
      <c r="N23" s="29"/>
      <c r="O23" s="47"/>
      <c r="P23" s="47"/>
      <c r="Q23" s="30">
        <f t="shared" si="1"/>
        <v>302.25</v>
      </c>
      <c r="R23" s="48">
        <f t="shared" si="2"/>
        <v>0</v>
      </c>
      <c r="S23" s="2">
        <f t="shared" si="3"/>
        <v>302.25</v>
      </c>
    </row>
    <row r="24">
      <c r="A24" s="32">
        <v>20.0</v>
      </c>
      <c r="B24" s="31" t="s">
        <v>309</v>
      </c>
      <c r="C24" s="31" t="s">
        <v>310</v>
      </c>
      <c r="D24" s="31"/>
      <c r="E24" s="25"/>
      <c r="F24" s="25"/>
      <c r="G24" s="25"/>
      <c r="H24" s="27"/>
      <c r="I24" s="27"/>
      <c r="J24" s="27"/>
      <c r="K24" s="28">
        <v>609.0</v>
      </c>
      <c r="L24" s="28"/>
      <c r="M24" s="28"/>
      <c r="N24" s="29">
        <v>545.0</v>
      </c>
      <c r="O24" s="47"/>
      <c r="P24" s="47"/>
      <c r="Q24" s="30">
        <f t="shared" si="1"/>
        <v>288.5</v>
      </c>
      <c r="R24" s="48">
        <f t="shared" si="2"/>
        <v>0</v>
      </c>
      <c r="S24" s="2">
        <f t="shared" si="3"/>
        <v>288.5</v>
      </c>
    </row>
    <row r="25">
      <c r="A25" s="21">
        <v>21.0</v>
      </c>
      <c r="B25" s="22" t="s">
        <v>311</v>
      </c>
      <c r="C25" s="22" t="s">
        <v>32</v>
      </c>
      <c r="D25" s="22"/>
      <c r="E25" s="25"/>
      <c r="F25" s="25"/>
      <c r="G25" s="25"/>
      <c r="H25" s="26">
        <v>584.0</v>
      </c>
      <c r="I25" s="27"/>
      <c r="J25" s="27"/>
      <c r="K25" s="28"/>
      <c r="L25" s="28"/>
      <c r="M25" s="28"/>
      <c r="N25" s="29">
        <v>515.0</v>
      </c>
      <c r="O25" s="47"/>
      <c r="P25" s="47"/>
      <c r="Q25" s="30">
        <f t="shared" si="1"/>
        <v>274.75</v>
      </c>
      <c r="R25" s="48">
        <f t="shared" si="2"/>
        <v>0</v>
      </c>
      <c r="S25" s="2">
        <f t="shared" si="3"/>
        <v>274.75</v>
      </c>
    </row>
    <row r="26">
      <c r="A26" s="32">
        <v>22.0</v>
      </c>
      <c r="B26" s="22" t="s">
        <v>312</v>
      </c>
      <c r="C26" s="22" t="s">
        <v>48</v>
      </c>
      <c r="D26" s="22"/>
      <c r="E26" s="25"/>
      <c r="F26" s="25"/>
      <c r="G26" s="25"/>
      <c r="H26" s="26">
        <v>662.0</v>
      </c>
      <c r="I26" s="26">
        <v>7.0</v>
      </c>
      <c r="J26" s="26">
        <v>40.0</v>
      </c>
      <c r="K26" s="48"/>
      <c r="L26" s="48"/>
      <c r="M26" s="48"/>
      <c r="N26" s="47"/>
      <c r="O26" s="47"/>
      <c r="P26" s="47"/>
      <c r="Q26" s="30">
        <f t="shared" si="1"/>
        <v>165.5</v>
      </c>
      <c r="R26" s="48">
        <f t="shared" si="2"/>
        <v>40</v>
      </c>
      <c r="S26" s="2">
        <f t="shared" si="3"/>
        <v>205.5</v>
      </c>
    </row>
    <row r="27">
      <c r="A27" s="21">
        <v>23.0</v>
      </c>
      <c r="B27" s="55" t="s">
        <v>313</v>
      </c>
      <c r="C27" s="3" t="s">
        <v>32</v>
      </c>
      <c r="D27" s="3"/>
      <c r="E27" s="49"/>
      <c r="F27" s="49"/>
      <c r="G27" s="49"/>
      <c r="H27" s="50"/>
      <c r="I27" s="50"/>
      <c r="J27" s="50"/>
      <c r="K27" s="51">
        <v>677.0</v>
      </c>
      <c r="L27" s="52"/>
      <c r="M27" s="52"/>
      <c r="N27" s="54"/>
      <c r="O27" s="54"/>
      <c r="P27" s="54"/>
      <c r="Q27" s="30">
        <f t="shared" si="1"/>
        <v>169.25</v>
      </c>
      <c r="R27" s="48">
        <f t="shared" si="2"/>
        <v>0</v>
      </c>
      <c r="S27" s="2">
        <f t="shared" si="3"/>
        <v>169.25</v>
      </c>
    </row>
    <row r="28">
      <c r="A28" s="32">
        <v>24.0</v>
      </c>
      <c r="B28" s="23" t="s">
        <v>314</v>
      </c>
      <c r="C28" s="23" t="s">
        <v>168</v>
      </c>
      <c r="D28" s="23"/>
      <c r="E28" s="24">
        <v>665.0</v>
      </c>
      <c r="F28" s="25"/>
      <c r="G28" s="14"/>
      <c r="H28" s="15"/>
      <c r="I28" s="27"/>
      <c r="J28" s="27"/>
      <c r="K28" s="48"/>
      <c r="L28" s="48"/>
      <c r="M28" s="48"/>
      <c r="N28" s="47"/>
      <c r="O28" s="47"/>
      <c r="P28" s="47"/>
      <c r="Q28" s="30">
        <f t="shared" si="1"/>
        <v>166.25</v>
      </c>
      <c r="R28" s="48">
        <f t="shared" si="2"/>
        <v>0</v>
      </c>
      <c r="S28" s="2">
        <f t="shared" si="3"/>
        <v>166.25</v>
      </c>
    </row>
    <row r="29">
      <c r="A29" s="21">
        <v>25.0</v>
      </c>
      <c r="B29" s="55" t="s">
        <v>315</v>
      </c>
      <c r="C29" s="55" t="s">
        <v>72</v>
      </c>
      <c r="D29" s="57" t="s">
        <v>40</v>
      </c>
      <c r="E29" s="49"/>
      <c r="F29" s="49"/>
      <c r="G29" s="49"/>
      <c r="H29" s="50"/>
      <c r="I29" s="50"/>
      <c r="J29" s="50"/>
      <c r="K29" s="48">
        <v>663.0</v>
      </c>
      <c r="L29" s="52"/>
      <c r="M29" s="52"/>
      <c r="N29" s="54"/>
      <c r="O29" s="54"/>
      <c r="P29" s="54"/>
      <c r="Q29" s="30">
        <f t="shared" si="1"/>
        <v>165.75</v>
      </c>
      <c r="R29" s="48">
        <f t="shared" si="2"/>
        <v>0</v>
      </c>
      <c r="S29" s="2">
        <f t="shared" si="3"/>
        <v>165.75</v>
      </c>
    </row>
    <row r="30">
      <c r="A30" s="32">
        <v>26.0</v>
      </c>
      <c r="B30" s="55" t="s">
        <v>316</v>
      </c>
      <c r="C30" s="3" t="s">
        <v>32</v>
      </c>
      <c r="D30" s="3"/>
      <c r="E30" s="49"/>
      <c r="F30" s="49"/>
      <c r="G30" s="49"/>
      <c r="H30" s="50"/>
      <c r="I30" s="50"/>
      <c r="J30" s="50"/>
      <c r="K30" s="48">
        <v>658.0</v>
      </c>
      <c r="L30" s="52"/>
      <c r="M30" s="52"/>
      <c r="N30" s="54"/>
      <c r="O30" s="54"/>
      <c r="P30" s="54"/>
      <c r="Q30" s="30">
        <f t="shared" si="1"/>
        <v>164.5</v>
      </c>
      <c r="R30" s="48">
        <f t="shared" si="2"/>
        <v>0</v>
      </c>
      <c r="S30" s="2">
        <f t="shared" si="3"/>
        <v>164.5</v>
      </c>
    </row>
    <row r="31">
      <c r="A31" s="21">
        <v>27.0</v>
      </c>
      <c r="B31" s="22" t="s">
        <v>317</v>
      </c>
      <c r="C31" s="22" t="s">
        <v>67</v>
      </c>
      <c r="D31" s="22"/>
      <c r="E31" s="25"/>
      <c r="F31" s="25"/>
      <c r="G31" s="25"/>
      <c r="H31" s="26">
        <v>650.0</v>
      </c>
      <c r="I31" s="27"/>
      <c r="J31" s="27"/>
      <c r="K31" s="48"/>
      <c r="L31" s="48"/>
      <c r="M31" s="48"/>
      <c r="N31" s="47"/>
      <c r="O31" s="47"/>
      <c r="P31" s="47"/>
      <c r="Q31" s="30">
        <f t="shared" si="1"/>
        <v>162.5</v>
      </c>
      <c r="R31" s="48">
        <f t="shared" si="2"/>
        <v>0</v>
      </c>
      <c r="S31" s="2">
        <f t="shared" si="3"/>
        <v>162.5</v>
      </c>
    </row>
    <row r="32">
      <c r="A32" s="32">
        <v>28.0</v>
      </c>
      <c r="B32" s="22" t="s">
        <v>47</v>
      </c>
      <c r="C32" s="22" t="s">
        <v>44</v>
      </c>
      <c r="D32" s="22"/>
      <c r="E32" s="24">
        <v>644.0</v>
      </c>
      <c r="F32" s="25"/>
      <c r="G32" s="25"/>
      <c r="H32" s="27"/>
      <c r="I32" s="27"/>
      <c r="J32" s="15"/>
      <c r="K32" s="48"/>
      <c r="L32" s="48"/>
      <c r="M32" s="48"/>
      <c r="N32" s="47"/>
      <c r="O32" s="47"/>
      <c r="P32" s="47"/>
      <c r="Q32" s="30">
        <f t="shared" si="1"/>
        <v>161</v>
      </c>
      <c r="R32" s="48">
        <f t="shared" si="2"/>
        <v>0</v>
      </c>
      <c r="S32" s="2">
        <f t="shared" si="3"/>
        <v>161</v>
      </c>
    </row>
    <row r="33">
      <c r="A33" s="21">
        <v>29.0</v>
      </c>
      <c r="B33" s="55" t="s">
        <v>318</v>
      </c>
      <c r="C33" s="55" t="s">
        <v>72</v>
      </c>
      <c r="D33" s="55"/>
      <c r="E33" s="49"/>
      <c r="F33" s="49"/>
      <c r="G33" s="49"/>
      <c r="H33" s="50"/>
      <c r="I33" s="50"/>
      <c r="J33" s="50"/>
      <c r="K33" s="48">
        <v>636.0</v>
      </c>
      <c r="L33" s="52"/>
      <c r="M33" s="52"/>
      <c r="N33" s="54"/>
      <c r="O33" s="54"/>
      <c r="P33" s="54"/>
      <c r="Q33" s="30">
        <f t="shared" si="1"/>
        <v>159</v>
      </c>
      <c r="R33" s="48">
        <f t="shared" si="2"/>
        <v>0</v>
      </c>
      <c r="S33" s="2">
        <f t="shared" si="3"/>
        <v>159</v>
      </c>
    </row>
    <row r="34">
      <c r="A34" s="32">
        <v>30.0</v>
      </c>
      <c r="B34" s="55" t="s">
        <v>319</v>
      </c>
      <c r="C34" s="55" t="s">
        <v>320</v>
      </c>
      <c r="D34" s="55"/>
      <c r="E34" s="49"/>
      <c r="F34" s="49"/>
      <c r="G34" s="49"/>
      <c r="H34" s="50"/>
      <c r="I34" s="50"/>
      <c r="J34" s="50"/>
      <c r="K34" s="48">
        <v>624.0</v>
      </c>
      <c r="L34" s="52"/>
      <c r="M34" s="52"/>
      <c r="N34" s="54"/>
      <c r="O34" s="54"/>
      <c r="P34" s="54"/>
      <c r="Q34" s="30">
        <f t="shared" si="1"/>
        <v>156</v>
      </c>
      <c r="R34" s="48">
        <f t="shared" si="2"/>
        <v>0</v>
      </c>
      <c r="S34" s="2">
        <f t="shared" si="3"/>
        <v>156</v>
      </c>
    </row>
    <row r="35">
      <c r="A35" s="21">
        <v>31.0</v>
      </c>
      <c r="B35" s="22" t="s">
        <v>321</v>
      </c>
      <c r="C35" s="22" t="s">
        <v>15</v>
      </c>
      <c r="D35" s="22"/>
      <c r="E35" s="25"/>
      <c r="F35" s="25"/>
      <c r="G35" s="25"/>
      <c r="H35" s="26">
        <v>620.0</v>
      </c>
      <c r="I35" s="27"/>
      <c r="J35" s="27"/>
      <c r="K35" s="48"/>
      <c r="L35" s="48"/>
      <c r="M35" s="48"/>
      <c r="N35" s="47"/>
      <c r="O35" s="47"/>
      <c r="P35" s="47"/>
      <c r="Q35" s="30">
        <f t="shared" si="1"/>
        <v>155</v>
      </c>
      <c r="R35" s="48">
        <f t="shared" si="2"/>
        <v>0</v>
      </c>
      <c r="S35" s="2">
        <f t="shared" si="3"/>
        <v>155</v>
      </c>
    </row>
    <row r="36">
      <c r="A36" s="32">
        <v>32.0</v>
      </c>
      <c r="B36" s="31" t="s">
        <v>322</v>
      </c>
      <c r="C36" s="31" t="s">
        <v>32</v>
      </c>
      <c r="D36" s="31"/>
      <c r="E36" s="49"/>
      <c r="F36" s="49"/>
      <c r="G36" s="49"/>
      <c r="H36" s="50"/>
      <c r="I36" s="50"/>
      <c r="J36" s="50"/>
      <c r="K36" s="51"/>
      <c r="L36" s="51"/>
      <c r="M36" s="51"/>
      <c r="N36" s="53">
        <v>614.0</v>
      </c>
      <c r="O36" s="54"/>
      <c r="P36" s="54"/>
      <c r="Q36" s="30">
        <f t="shared" si="1"/>
        <v>153.5</v>
      </c>
      <c r="R36" s="48">
        <f t="shared" si="2"/>
        <v>0</v>
      </c>
      <c r="S36" s="2">
        <f t="shared" si="3"/>
        <v>153.5</v>
      </c>
    </row>
    <row r="37">
      <c r="A37" s="21">
        <v>33.0</v>
      </c>
      <c r="B37" s="22" t="s">
        <v>78</v>
      </c>
      <c r="C37" s="22" t="s">
        <v>168</v>
      </c>
      <c r="D37" s="22"/>
      <c r="E37" s="24">
        <v>611.0</v>
      </c>
      <c r="F37" s="25"/>
      <c r="G37" s="25"/>
      <c r="H37" s="27"/>
      <c r="I37" s="27"/>
      <c r="J37" s="27"/>
      <c r="K37" s="48"/>
      <c r="L37" s="48"/>
      <c r="M37" s="48"/>
      <c r="N37" s="47"/>
      <c r="O37" s="47"/>
      <c r="P37" s="47"/>
      <c r="Q37" s="30">
        <f t="shared" si="1"/>
        <v>152.75</v>
      </c>
      <c r="R37" s="48">
        <f t="shared" si="2"/>
        <v>0</v>
      </c>
      <c r="S37" s="2">
        <f t="shared" si="3"/>
        <v>152.75</v>
      </c>
    </row>
    <row r="38">
      <c r="A38" s="32">
        <v>34.0</v>
      </c>
      <c r="B38" s="55" t="s">
        <v>309</v>
      </c>
      <c r="C38" s="55" t="s">
        <v>310</v>
      </c>
      <c r="D38" s="55"/>
      <c r="E38" s="49"/>
      <c r="F38" s="49"/>
      <c r="G38" s="49"/>
      <c r="H38" s="50"/>
      <c r="I38" s="50"/>
      <c r="J38" s="50"/>
      <c r="K38" s="28">
        <v>609.0</v>
      </c>
      <c r="L38" s="52"/>
      <c r="M38" s="52"/>
      <c r="N38" s="54"/>
      <c r="O38" s="54"/>
      <c r="P38" s="54"/>
      <c r="Q38" s="30">
        <f t="shared" si="1"/>
        <v>152.25</v>
      </c>
      <c r="R38" s="48">
        <f t="shared" si="2"/>
        <v>0</v>
      </c>
      <c r="S38" s="2">
        <f t="shared" si="3"/>
        <v>152.25</v>
      </c>
    </row>
    <row r="39">
      <c r="A39" s="21">
        <v>35.0</v>
      </c>
      <c r="B39" s="31" t="s">
        <v>323</v>
      </c>
      <c r="C39" s="31" t="s">
        <v>225</v>
      </c>
      <c r="D39" s="31"/>
      <c r="E39" s="49"/>
      <c r="F39" s="49"/>
      <c r="G39" s="49"/>
      <c r="H39" s="50"/>
      <c r="I39" s="50"/>
      <c r="J39" s="50"/>
      <c r="K39" s="51"/>
      <c r="L39" s="51"/>
      <c r="M39" s="51"/>
      <c r="N39" s="53">
        <v>588.0</v>
      </c>
      <c r="O39" s="54"/>
      <c r="P39" s="54"/>
      <c r="Q39" s="30">
        <f t="shared" si="1"/>
        <v>147</v>
      </c>
      <c r="R39" s="48">
        <f t="shared" si="2"/>
        <v>0</v>
      </c>
      <c r="S39" s="2">
        <f t="shared" si="3"/>
        <v>147</v>
      </c>
    </row>
    <row r="40">
      <c r="A40" s="32">
        <v>36.0</v>
      </c>
      <c r="B40" s="22" t="s">
        <v>324</v>
      </c>
      <c r="C40" s="22" t="s">
        <v>15</v>
      </c>
      <c r="D40" s="22"/>
      <c r="E40" s="25"/>
      <c r="F40" s="25"/>
      <c r="G40" s="25"/>
      <c r="H40" s="26">
        <v>578.0</v>
      </c>
      <c r="I40" s="27"/>
      <c r="J40" s="27"/>
      <c r="K40" s="48"/>
      <c r="L40" s="48"/>
      <c r="M40" s="48"/>
      <c r="N40" s="47"/>
      <c r="O40" s="47"/>
      <c r="P40" s="47"/>
      <c r="Q40" s="30">
        <f t="shared" si="1"/>
        <v>144.5</v>
      </c>
      <c r="R40" s="48">
        <f t="shared" si="2"/>
        <v>0</v>
      </c>
      <c r="S40" s="2">
        <f t="shared" si="3"/>
        <v>144.5</v>
      </c>
    </row>
    <row r="41">
      <c r="A41" s="21">
        <v>37.0</v>
      </c>
      <c r="B41" s="55" t="s">
        <v>325</v>
      </c>
      <c r="C41" s="55" t="s">
        <v>310</v>
      </c>
      <c r="D41" s="55"/>
      <c r="E41" s="49"/>
      <c r="F41" s="49"/>
      <c r="G41" s="49"/>
      <c r="H41" s="50"/>
      <c r="I41" s="50"/>
      <c r="J41" s="50"/>
      <c r="K41" s="28">
        <v>574.0</v>
      </c>
      <c r="L41" s="52"/>
      <c r="M41" s="52"/>
      <c r="N41" s="54"/>
      <c r="O41" s="54"/>
      <c r="P41" s="54"/>
      <c r="Q41" s="30">
        <f t="shared" si="1"/>
        <v>143.5</v>
      </c>
      <c r="R41" s="48">
        <f t="shared" si="2"/>
        <v>0</v>
      </c>
      <c r="S41" s="2">
        <f t="shared" si="3"/>
        <v>143.5</v>
      </c>
    </row>
    <row r="42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3" max="4" width="14.0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4" width="6.0"/>
    <col customWidth="1" min="15" max="16" width="5.25"/>
  </cols>
  <sheetData>
    <row r="1">
      <c r="A1" s="122" t="s">
        <v>228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132" t="s">
        <v>2</v>
      </c>
      <c r="L3" s="5"/>
      <c r="M3" s="6"/>
      <c r="N3" s="9" t="s">
        <v>3</v>
      </c>
      <c r="O3" s="5"/>
      <c r="P3" s="6"/>
      <c r="Q3" s="135"/>
      <c r="R3" s="135"/>
      <c r="S3" s="3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46" t="s">
        <v>8</v>
      </c>
      <c r="L4" s="46" t="s">
        <v>9</v>
      </c>
      <c r="M4" s="46" t="s">
        <v>10</v>
      </c>
      <c r="N4" s="17" t="s">
        <v>8</v>
      </c>
      <c r="O4" s="17" t="s">
        <v>9</v>
      </c>
      <c r="P4" s="17" t="s">
        <v>10</v>
      </c>
      <c r="Q4" s="136" t="s">
        <v>11</v>
      </c>
      <c r="R4" s="137" t="s">
        <v>12</v>
      </c>
      <c r="S4" s="20" t="s">
        <v>13</v>
      </c>
    </row>
    <row r="5">
      <c r="A5" s="21">
        <v>1.0</v>
      </c>
      <c r="B5" s="69" t="s">
        <v>326</v>
      </c>
      <c r="C5" s="33" t="s">
        <v>15</v>
      </c>
      <c r="D5" s="33" t="s">
        <v>327</v>
      </c>
      <c r="E5" s="43">
        <v>696.0</v>
      </c>
      <c r="F5" s="14"/>
      <c r="G5" s="43">
        <v>100.0</v>
      </c>
      <c r="H5" s="44">
        <v>695.0</v>
      </c>
      <c r="I5" s="15"/>
      <c r="J5" s="44">
        <v>100.0</v>
      </c>
      <c r="K5" s="28">
        <v>709.0</v>
      </c>
      <c r="L5" s="28">
        <v>1.0</v>
      </c>
      <c r="M5" s="28">
        <v>100.0</v>
      </c>
      <c r="N5" s="29">
        <v>694.0</v>
      </c>
      <c r="O5" s="29"/>
      <c r="P5" s="29">
        <v>100.0</v>
      </c>
      <c r="Q5" s="138">
        <f t="shared" ref="Q5:Q34" si="1">(E5+H5+N5+K5)/4</f>
        <v>698.5</v>
      </c>
      <c r="R5" s="138">
        <f t="shared" ref="R5:R34" si="2">G5+J5+P5+M5</f>
        <v>400</v>
      </c>
      <c r="S5" s="2">
        <f t="shared" ref="S5:S34" si="3">Q5+R5</f>
        <v>1098.5</v>
      </c>
    </row>
    <row r="6">
      <c r="A6" s="32">
        <v>2.0</v>
      </c>
      <c r="B6" s="69" t="s">
        <v>328</v>
      </c>
      <c r="C6" s="33" t="s">
        <v>44</v>
      </c>
      <c r="D6" s="33" t="s">
        <v>329</v>
      </c>
      <c r="E6" s="43">
        <v>696.0</v>
      </c>
      <c r="F6" s="14"/>
      <c r="G6" s="43">
        <v>100.0</v>
      </c>
      <c r="H6" s="44">
        <v>692.0</v>
      </c>
      <c r="I6" s="15"/>
      <c r="J6" s="44">
        <v>100.0</v>
      </c>
      <c r="K6" s="28">
        <v>693.0</v>
      </c>
      <c r="L6" s="28">
        <v>3.0</v>
      </c>
      <c r="M6" s="28">
        <v>80.0</v>
      </c>
      <c r="N6" s="29">
        <v>681.0</v>
      </c>
      <c r="O6" s="29"/>
      <c r="P6" s="29">
        <v>100.0</v>
      </c>
      <c r="Q6" s="138">
        <f t="shared" si="1"/>
        <v>690.5</v>
      </c>
      <c r="R6" s="138">
        <f t="shared" si="2"/>
        <v>380</v>
      </c>
      <c r="S6" s="2">
        <f t="shared" si="3"/>
        <v>1070.5</v>
      </c>
    </row>
    <row r="7">
      <c r="A7" s="21">
        <v>3.0</v>
      </c>
      <c r="B7" s="22" t="s">
        <v>330</v>
      </c>
      <c r="C7" s="23" t="s">
        <v>18</v>
      </c>
      <c r="D7" s="23" t="s">
        <v>34</v>
      </c>
      <c r="E7" s="43">
        <v>696.0</v>
      </c>
      <c r="F7" s="14"/>
      <c r="G7" s="43">
        <v>100.0</v>
      </c>
      <c r="H7" s="44">
        <v>688.0</v>
      </c>
      <c r="I7" s="15"/>
      <c r="J7" s="44">
        <v>100.0</v>
      </c>
      <c r="K7" s="28">
        <v>699.0</v>
      </c>
      <c r="L7" s="28">
        <v>4.0</v>
      </c>
      <c r="M7" s="28">
        <v>70.0</v>
      </c>
      <c r="N7" s="29">
        <v>694.0</v>
      </c>
      <c r="O7" s="29"/>
      <c r="P7" s="29">
        <v>100.0</v>
      </c>
      <c r="Q7" s="138">
        <f t="shared" si="1"/>
        <v>694.25</v>
      </c>
      <c r="R7" s="138">
        <f t="shared" si="2"/>
        <v>370</v>
      </c>
      <c r="S7" s="2">
        <f t="shared" si="3"/>
        <v>1064.25</v>
      </c>
    </row>
    <row r="8">
      <c r="A8" s="32">
        <v>4.0</v>
      </c>
      <c r="B8" s="69" t="s">
        <v>331</v>
      </c>
      <c r="C8" s="33" t="s">
        <v>18</v>
      </c>
      <c r="D8" s="33" t="s">
        <v>332</v>
      </c>
      <c r="E8" s="43">
        <v>694.0</v>
      </c>
      <c r="F8" s="14"/>
      <c r="G8" s="43">
        <v>100.0</v>
      </c>
      <c r="H8" s="44">
        <v>687.0</v>
      </c>
      <c r="I8" s="15"/>
      <c r="J8" s="44">
        <v>100.0</v>
      </c>
      <c r="K8" s="28">
        <v>701.0</v>
      </c>
      <c r="L8" s="28">
        <v>2.0</v>
      </c>
      <c r="M8" s="28">
        <v>90.0</v>
      </c>
      <c r="N8" s="29">
        <v>676.0</v>
      </c>
      <c r="O8" s="29">
        <v>3.0</v>
      </c>
      <c r="P8" s="29">
        <v>80.0</v>
      </c>
      <c r="Q8" s="138">
        <f t="shared" si="1"/>
        <v>689.5</v>
      </c>
      <c r="R8" s="138">
        <f t="shared" si="2"/>
        <v>370</v>
      </c>
      <c r="S8" s="2">
        <f t="shared" si="3"/>
        <v>1059.5</v>
      </c>
    </row>
    <row r="9">
      <c r="A9" s="21">
        <v>5.0</v>
      </c>
      <c r="B9" s="23" t="s">
        <v>333</v>
      </c>
      <c r="C9" s="23" t="s">
        <v>15</v>
      </c>
      <c r="D9" s="23" t="s">
        <v>21</v>
      </c>
      <c r="E9" s="24">
        <v>686.0</v>
      </c>
      <c r="F9" s="24">
        <v>1.0</v>
      </c>
      <c r="G9" s="43">
        <v>100.0</v>
      </c>
      <c r="H9" s="26">
        <v>689.0</v>
      </c>
      <c r="I9" s="26">
        <v>1.0</v>
      </c>
      <c r="J9" s="44">
        <v>100.0</v>
      </c>
      <c r="K9" s="28">
        <v>681.0</v>
      </c>
      <c r="L9" s="28">
        <v>5.0</v>
      </c>
      <c r="M9" s="28">
        <v>60.0</v>
      </c>
      <c r="N9" s="29">
        <v>685.0</v>
      </c>
      <c r="O9" s="45">
        <v>1.0</v>
      </c>
      <c r="P9" s="45">
        <v>100.0</v>
      </c>
      <c r="Q9" s="138">
        <f t="shared" si="1"/>
        <v>685.25</v>
      </c>
      <c r="R9" s="138">
        <f t="shared" si="2"/>
        <v>360</v>
      </c>
      <c r="S9" s="2">
        <f t="shared" si="3"/>
        <v>1045.25</v>
      </c>
    </row>
    <row r="10">
      <c r="A10" s="32">
        <v>6.0</v>
      </c>
      <c r="B10" s="23" t="s">
        <v>334</v>
      </c>
      <c r="C10" s="23" t="s">
        <v>15</v>
      </c>
      <c r="D10" s="23" t="s">
        <v>21</v>
      </c>
      <c r="E10" s="24">
        <v>684.0</v>
      </c>
      <c r="F10" s="24">
        <v>3.0</v>
      </c>
      <c r="G10" s="43">
        <v>80.0</v>
      </c>
      <c r="H10" s="26">
        <v>682.0</v>
      </c>
      <c r="I10" s="26">
        <v>3.0</v>
      </c>
      <c r="J10" s="44">
        <v>80.0</v>
      </c>
      <c r="K10" s="28">
        <v>684.0</v>
      </c>
      <c r="L10" s="28">
        <v>6.0</v>
      </c>
      <c r="M10" s="28">
        <v>50.0</v>
      </c>
      <c r="N10" s="29">
        <v>674.0</v>
      </c>
      <c r="O10" s="45">
        <v>2.0</v>
      </c>
      <c r="P10" s="45">
        <v>90.0</v>
      </c>
      <c r="Q10" s="138">
        <f t="shared" si="1"/>
        <v>681</v>
      </c>
      <c r="R10" s="138">
        <f t="shared" si="2"/>
        <v>300</v>
      </c>
      <c r="S10" s="2">
        <f t="shared" si="3"/>
        <v>981</v>
      </c>
    </row>
    <row r="11">
      <c r="A11" s="21">
        <v>7.0</v>
      </c>
      <c r="B11" s="33" t="s">
        <v>335</v>
      </c>
      <c r="C11" s="33" t="s">
        <v>15</v>
      </c>
      <c r="D11" s="33" t="s">
        <v>336</v>
      </c>
      <c r="E11" s="24">
        <v>670.0</v>
      </c>
      <c r="F11" s="24">
        <v>2.0</v>
      </c>
      <c r="G11" s="43">
        <v>90.0</v>
      </c>
      <c r="H11" s="44">
        <v>674.0</v>
      </c>
      <c r="I11" s="26">
        <v>4.0</v>
      </c>
      <c r="J11" s="26">
        <v>70.0</v>
      </c>
      <c r="K11" s="51">
        <v>674.0</v>
      </c>
      <c r="L11" s="51"/>
      <c r="M11" s="51"/>
      <c r="N11" s="53">
        <v>659.0</v>
      </c>
      <c r="O11" s="45">
        <v>6.0</v>
      </c>
      <c r="P11" s="45">
        <v>50.0</v>
      </c>
      <c r="Q11" s="138">
        <f t="shared" si="1"/>
        <v>669.25</v>
      </c>
      <c r="R11" s="138">
        <f t="shared" si="2"/>
        <v>210</v>
      </c>
      <c r="S11" s="2">
        <f t="shared" si="3"/>
        <v>879.25</v>
      </c>
    </row>
    <row r="12">
      <c r="A12" s="32">
        <v>8.0</v>
      </c>
      <c r="B12" s="23" t="s">
        <v>337</v>
      </c>
      <c r="C12" s="23" t="s">
        <v>18</v>
      </c>
      <c r="D12" s="23" t="s">
        <v>34</v>
      </c>
      <c r="E12" s="24">
        <v>645.0</v>
      </c>
      <c r="F12" s="24">
        <v>4.0</v>
      </c>
      <c r="G12" s="43">
        <v>70.0</v>
      </c>
      <c r="H12" s="44">
        <v>639.0</v>
      </c>
      <c r="I12" s="26">
        <v>5.0</v>
      </c>
      <c r="J12" s="26">
        <v>60.0</v>
      </c>
      <c r="K12" s="28">
        <v>656.0</v>
      </c>
      <c r="L12" s="28"/>
      <c r="M12" s="28"/>
      <c r="N12" s="29">
        <v>640.0</v>
      </c>
      <c r="O12" s="45">
        <v>8.0</v>
      </c>
      <c r="P12" s="45">
        <v>30.0</v>
      </c>
      <c r="Q12" s="138">
        <f t="shared" si="1"/>
        <v>645</v>
      </c>
      <c r="R12" s="138">
        <f t="shared" si="2"/>
        <v>160</v>
      </c>
      <c r="S12" s="2">
        <f t="shared" si="3"/>
        <v>805</v>
      </c>
    </row>
    <row r="13">
      <c r="A13" s="21">
        <v>9.0</v>
      </c>
      <c r="B13" s="23" t="s">
        <v>338</v>
      </c>
      <c r="C13" s="23" t="s">
        <v>18</v>
      </c>
      <c r="D13" s="23" t="s">
        <v>21</v>
      </c>
      <c r="E13" s="24">
        <v>642.0</v>
      </c>
      <c r="F13" s="24">
        <v>5.0</v>
      </c>
      <c r="G13" s="43">
        <v>60.0</v>
      </c>
      <c r="H13" s="44">
        <v>672.0</v>
      </c>
      <c r="I13" s="26">
        <v>6.0</v>
      </c>
      <c r="J13" s="26">
        <v>50.0</v>
      </c>
      <c r="K13" s="28">
        <v>641.0</v>
      </c>
      <c r="L13" s="28"/>
      <c r="M13" s="28"/>
      <c r="N13" s="29">
        <v>634.0</v>
      </c>
      <c r="O13" s="45">
        <v>7.0</v>
      </c>
      <c r="P13" s="45">
        <v>40.0</v>
      </c>
      <c r="Q13" s="138">
        <f t="shared" si="1"/>
        <v>647.25</v>
      </c>
      <c r="R13" s="138">
        <f t="shared" si="2"/>
        <v>150</v>
      </c>
      <c r="S13" s="2">
        <f t="shared" si="3"/>
        <v>797.25</v>
      </c>
    </row>
    <row r="14">
      <c r="A14" s="32">
        <v>10.0</v>
      </c>
      <c r="B14" s="23" t="s">
        <v>339</v>
      </c>
      <c r="C14" s="23" t="s">
        <v>18</v>
      </c>
      <c r="D14" s="23" t="s">
        <v>34</v>
      </c>
      <c r="E14" s="24">
        <v>637.0</v>
      </c>
      <c r="F14" s="24">
        <v>7.0</v>
      </c>
      <c r="G14" s="43">
        <v>40.0</v>
      </c>
      <c r="H14" s="26">
        <v>658.0</v>
      </c>
      <c r="I14" s="27"/>
      <c r="J14" s="27"/>
      <c r="K14" s="51">
        <v>639.0</v>
      </c>
      <c r="L14" s="51"/>
      <c r="M14" s="51"/>
      <c r="N14" s="53">
        <v>570.0</v>
      </c>
      <c r="O14" s="17"/>
      <c r="P14" s="17"/>
      <c r="Q14" s="138">
        <f t="shared" si="1"/>
        <v>626</v>
      </c>
      <c r="R14" s="138">
        <f t="shared" si="2"/>
        <v>40</v>
      </c>
      <c r="S14" s="2">
        <f t="shared" si="3"/>
        <v>666</v>
      </c>
    </row>
    <row r="15">
      <c r="A15" s="21">
        <v>11.0</v>
      </c>
      <c r="B15" s="23" t="s">
        <v>340</v>
      </c>
      <c r="C15" s="23" t="s">
        <v>44</v>
      </c>
      <c r="D15" s="23" t="s">
        <v>40</v>
      </c>
      <c r="E15" s="24">
        <v>628.0</v>
      </c>
      <c r="F15" s="25"/>
      <c r="G15" s="25"/>
      <c r="H15" s="26">
        <v>646.0</v>
      </c>
      <c r="I15" s="26">
        <v>2.0</v>
      </c>
      <c r="J15" s="26">
        <v>90.0</v>
      </c>
      <c r="K15" s="28">
        <v>660.0</v>
      </c>
      <c r="L15" s="28"/>
      <c r="M15" s="28"/>
      <c r="N15" s="29"/>
      <c r="O15" s="17"/>
      <c r="P15" s="17"/>
      <c r="Q15" s="138">
        <f t="shared" si="1"/>
        <v>483.5</v>
      </c>
      <c r="R15" s="138">
        <f t="shared" si="2"/>
        <v>90</v>
      </c>
      <c r="S15" s="2">
        <f t="shared" si="3"/>
        <v>573.5</v>
      </c>
    </row>
    <row r="16">
      <c r="A16" s="32">
        <v>12.0</v>
      </c>
      <c r="B16" s="22" t="s">
        <v>341</v>
      </c>
      <c r="C16" s="22" t="s">
        <v>32</v>
      </c>
      <c r="D16" s="22" t="s">
        <v>34</v>
      </c>
      <c r="E16" s="24"/>
      <c r="F16" s="25"/>
      <c r="G16" s="25"/>
      <c r="H16" s="26">
        <v>663.0</v>
      </c>
      <c r="I16" s="27"/>
      <c r="J16" s="15"/>
      <c r="K16" s="28">
        <v>655.0</v>
      </c>
      <c r="L16" s="28"/>
      <c r="M16" s="28"/>
      <c r="N16" s="29">
        <v>647.0</v>
      </c>
      <c r="O16" s="29">
        <v>5.0</v>
      </c>
      <c r="P16" s="29">
        <v>60.0</v>
      </c>
      <c r="Q16" s="138">
        <f t="shared" si="1"/>
        <v>491.25</v>
      </c>
      <c r="R16" s="138">
        <f t="shared" si="2"/>
        <v>60</v>
      </c>
      <c r="S16" s="2">
        <f t="shared" si="3"/>
        <v>551.25</v>
      </c>
    </row>
    <row r="17">
      <c r="A17" s="21">
        <v>13.0</v>
      </c>
      <c r="B17" s="23" t="s">
        <v>342</v>
      </c>
      <c r="C17" s="23" t="s">
        <v>67</v>
      </c>
      <c r="D17" s="23"/>
      <c r="E17" s="24">
        <v>630.0</v>
      </c>
      <c r="F17" s="24">
        <v>8.0</v>
      </c>
      <c r="G17" s="43">
        <v>30.0</v>
      </c>
      <c r="H17" s="44">
        <v>623.0</v>
      </c>
      <c r="I17" s="26">
        <v>7.0</v>
      </c>
      <c r="J17" s="26">
        <v>40.0</v>
      </c>
      <c r="K17" s="28">
        <v>627.0</v>
      </c>
      <c r="L17" s="28"/>
      <c r="M17" s="28"/>
      <c r="N17" s="29"/>
      <c r="O17" s="47"/>
      <c r="P17" s="47"/>
      <c r="Q17" s="138">
        <f t="shared" si="1"/>
        <v>470</v>
      </c>
      <c r="R17" s="138">
        <f t="shared" si="2"/>
        <v>70</v>
      </c>
      <c r="S17" s="2">
        <f t="shared" si="3"/>
        <v>540</v>
      </c>
    </row>
    <row r="18">
      <c r="A18" s="32">
        <v>14.0</v>
      </c>
      <c r="B18" s="22" t="s">
        <v>343</v>
      </c>
      <c r="C18" s="22" t="s">
        <v>32</v>
      </c>
      <c r="D18" s="22"/>
      <c r="E18" s="24"/>
      <c r="F18" s="25"/>
      <c r="G18" s="25"/>
      <c r="H18" s="26">
        <v>563.0</v>
      </c>
      <c r="I18" s="27"/>
      <c r="J18" s="27"/>
      <c r="K18" s="28">
        <v>629.0</v>
      </c>
      <c r="L18" s="28"/>
      <c r="M18" s="28"/>
      <c r="N18" s="29">
        <v>614.0</v>
      </c>
      <c r="O18" s="47"/>
      <c r="P18" s="47"/>
      <c r="Q18" s="138">
        <f t="shared" si="1"/>
        <v>451.5</v>
      </c>
      <c r="R18" s="138">
        <f t="shared" si="2"/>
        <v>0</v>
      </c>
      <c r="S18" s="2">
        <f t="shared" si="3"/>
        <v>451.5</v>
      </c>
    </row>
    <row r="19">
      <c r="A19" s="21">
        <v>15.0</v>
      </c>
      <c r="B19" s="31" t="s">
        <v>344</v>
      </c>
      <c r="C19" s="23" t="s">
        <v>36</v>
      </c>
      <c r="D19" s="23"/>
      <c r="E19" s="25"/>
      <c r="F19" s="25"/>
      <c r="G19" s="25"/>
      <c r="H19" s="27"/>
      <c r="I19" s="27"/>
      <c r="J19" s="27"/>
      <c r="K19" s="28">
        <v>658.0</v>
      </c>
      <c r="L19" s="28">
        <v>7.0</v>
      </c>
      <c r="M19" s="28">
        <v>40.0</v>
      </c>
      <c r="N19" s="29">
        <v>652.0</v>
      </c>
      <c r="O19" s="29">
        <v>4.0</v>
      </c>
      <c r="P19" s="29">
        <v>70.0</v>
      </c>
      <c r="Q19" s="138">
        <f t="shared" si="1"/>
        <v>327.5</v>
      </c>
      <c r="R19" s="138">
        <f t="shared" si="2"/>
        <v>110</v>
      </c>
      <c r="S19" s="2">
        <f t="shared" si="3"/>
        <v>437.5</v>
      </c>
    </row>
    <row r="20">
      <c r="A20" s="32">
        <v>16.0</v>
      </c>
      <c r="B20" s="23" t="s">
        <v>345</v>
      </c>
      <c r="C20" s="23" t="s">
        <v>36</v>
      </c>
      <c r="D20" s="23"/>
      <c r="E20" s="24">
        <v>653.0</v>
      </c>
      <c r="F20" s="24">
        <v>6.0</v>
      </c>
      <c r="G20" s="43">
        <v>50.0</v>
      </c>
      <c r="H20" s="26">
        <v>658.0</v>
      </c>
      <c r="I20" s="27"/>
      <c r="J20" s="15"/>
      <c r="K20" s="48"/>
      <c r="L20" s="48"/>
      <c r="M20" s="48"/>
      <c r="N20" s="47"/>
      <c r="O20" s="17"/>
      <c r="P20" s="17"/>
      <c r="Q20" s="138">
        <f t="shared" si="1"/>
        <v>327.75</v>
      </c>
      <c r="R20" s="138">
        <f t="shared" si="2"/>
        <v>50</v>
      </c>
      <c r="S20" s="2">
        <f t="shared" si="3"/>
        <v>377.75</v>
      </c>
    </row>
    <row r="21">
      <c r="A21" s="21">
        <v>17.0</v>
      </c>
      <c r="B21" s="31" t="s">
        <v>346</v>
      </c>
      <c r="C21" s="31" t="s">
        <v>60</v>
      </c>
      <c r="D21" s="31"/>
      <c r="E21" s="25"/>
      <c r="F21" s="25"/>
      <c r="G21" s="25"/>
      <c r="H21" s="27"/>
      <c r="I21" s="27"/>
      <c r="J21" s="27"/>
      <c r="K21" s="28">
        <v>641.0</v>
      </c>
      <c r="L21" s="28"/>
      <c r="M21" s="28"/>
      <c r="N21" s="29">
        <v>608.0</v>
      </c>
      <c r="O21" s="47"/>
      <c r="P21" s="47"/>
      <c r="Q21" s="138">
        <f t="shared" si="1"/>
        <v>312.25</v>
      </c>
      <c r="R21" s="138">
        <f t="shared" si="2"/>
        <v>0</v>
      </c>
      <c r="S21" s="2">
        <f t="shared" si="3"/>
        <v>312.25</v>
      </c>
    </row>
    <row r="22">
      <c r="A22" s="32">
        <v>18.0</v>
      </c>
      <c r="B22" s="22" t="s">
        <v>347</v>
      </c>
      <c r="C22" s="22" t="s">
        <v>32</v>
      </c>
      <c r="D22" s="22"/>
      <c r="E22" s="24"/>
      <c r="F22" s="25"/>
      <c r="G22" s="25"/>
      <c r="H22" s="26">
        <v>555.0</v>
      </c>
      <c r="I22" s="27"/>
      <c r="J22" s="15"/>
      <c r="K22" s="28"/>
      <c r="L22" s="28"/>
      <c r="M22" s="28"/>
      <c r="N22" s="29">
        <v>637.0</v>
      </c>
      <c r="O22" s="47"/>
      <c r="P22" s="47"/>
      <c r="Q22" s="138">
        <f t="shared" si="1"/>
        <v>298</v>
      </c>
      <c r="R22" s="138">
        <f t="shared" si="2"/>
        <v>0</v>
      </c>
      <c r="S22" s="2">
        <f t="shared" si="3"/>
        <v>298</v>
      </c>
    </row>
    <row r="23">
      <c r="A23" s="21">
        <v>19.0</v>
      </c>
      <c r="B23" s="22" t="s">
        <v>348</v>
      </c>
      <c r="C23" s="22" t="s">
        <v>18</v>
      </c>
      <c r="D23" s="22"/>
      <c r="E23" s="24">
        <v>565.0</v>
      </c>
      <c r="F23" s="25"/>
      <c r="G23" s="25"/>
      <c r="H23" s="26">
        <v>614.0</v>
      </c>
      <c r="I23" s="27"/>
      <c r="J23" s="15"/>
      <c r="K23" s="48"/>
      <c r="L23" s="48"/>
      <c r="M23" s="48"/>
      <c r="N23" s="47"/>
      <c r="O23" s="47"/>
      <c r="P23" s="47"/>
      <c r="Q23" s="138">
        <f t="shared" si="1"/>
        <v>294.75</v>
      </c>
      <c r="R23" s="138">
        <f t="shared" si="2"/>
        <v>0</v>
      </c>
      <c r="S23" s="2">
        <f t="shared" si="3"/>
        <v>294.75</v>
      </c>
    </row>
    <row r="24">
      <c r="A24" s="32">
        <v>20.0</v>
      </c>
      <c r="B24" s="55" t="s">
        <v>349</v>
      </c>
      <c r="C24" s="3" t="s">
        <v>32</v>
      </c>
      <c r="D24" s="3"/>
      <c r="E24" s="49"/>
      <c r="F24" s="49"/>
      <c r="G24" s="49"/>
      <c r="H24" s="50"/>
      <c r="I24" s="50"/>
      <c r="J24" s="50"/>
      <c r="K24" s="48">
        <v>669.0</v>
      </c>
      <c r="L24" s="51">
        <v>8.0</v>
      </c>
      <c r="M24" s="51">
        <v>30.0</v>
      </c>
      <c r="N24" s="54"/>
      <c r="O24" s="54"/>
      <c r="P24" s="54"/>
      <c r="Q24" s="138">
        <f t="shared" si="1"/>
        <v>167.25</v>
      </c>
      <c r="R24" s="138">
        <f t="shared" si="2"/>
        <v>30</v>
      </c>
      <c r="S24" s="2">
        <f t="shared" si="3"/>
        <v>197.25</v>
      </c>
    </row>
    <row r="25">
      <c r="A25" s="21">
        <v>21.0</v>
      </c>
      <c r="B25" s="55" t="s">
        <v>350</v>
      </c>
      <c r="C25" s="139" t="s">
        <v>44</v>
      </c>
      <c r="D25" s="23" t="s">
        <v>40</v>
      </c>
      <c r="E25" s="49"/>
      <c r="F25" s="49"/>
      <c r="G25" s="49"/>
      <c r="H25" s="50"/>
      <c r="I25" s="50"/>
      <c r="J25" s="50"/>
      <c r="K25" s="48">
        <v>648.0</v>
      </c>
      <c r="L25" s="52"/>
      <c r="M25" s="52"/>
      <c r="N25" s="54"/>
      <c r="O25" s="54"/>
      <c r="P25" s="54"/>
      <c r="Q25" s="138">
        <f t="shared" si="1"/>
        <v>162</v>
      </c>
      <c r="R25" s="138">
        <f t="shared" si="2"/>
        <v>0</v>
      </c>
      <c r="S25" s="2">
        <f t="shared" si="3"/>
        <v>162</v>
      </c>
    </row>
    <row r="26">
      <c r="A26" s="32">
        <v>22.0</v>
      </c>
      <c r="B26" s="55" t="s">
        <v>351</v>
      </c>
      <c r="C26" s="55" t="s">
        <v>60</v>
      </c>
      <c r="D26" s="55"/>
      <c r="E26" s="49"/>
      <c r="F26" s="49"/>
      <c r="G26" s="49"/>
      <c r="H26" s="50"/>
      <c r="I26" s="50"/>
      <c r="J26" s="50"/>
      <c r="K26" s="48">
        <v>642.0</v>
      </c>
      <c r="L26" s="52"/>
      <c r="M26" s="52"/>
      <c r="N26" s="54"/>
      <c r="O26" s="54"/>
      <c r="P26" s="54"/>
      <c r="Q26" s="138">
        <f t="shared" si="1"/>
        <v>160.5</v>
      </c>
      <c r="R26" s="138">
        <f t="shared" si="2"/>
        <v>0</v>
      </c>
      <c r="S26" s="2">
        <f t="shared" si="3"/>
        <v>160.5</v>
      </c>
    </row>
    <row r="27">
      <c r="A27" s="21">
        <v>23.0</v>
      </c>
      <c r="B27" s="55" t="s">
        <v>352</v>
      </c>
      <c r="C27" s="139" t="s">
        <v>15</v>
      </c>
      <c r="D27" s="139"/>
      <c r="E27" s="49"/>
      <c r="F27" s="49"/>
      <c r="G27" s="49"/>
      <c r="H27" s="50"/>
      <c r="I27" s="50"/>
      <c r="J27" s="50"/>
      <c r="K27" s="48">
        <v>637.0</v>
      </c>
      <c r="L27" s="52"/>
      <c r="M27" s="52"/>
      <c r="N27" s="54"/>
      <c r="O27" s="54"/>
      <c r="P27" s="54"/>
      <c r="Q27" s="138">
        <f t="shared" si="1"/>
        <v>159.25</v>
      </c>
      <c r="R27" s="138">
        <f t="shared" si="2"/>
        <v>0</v>
      </c>
      <c r="S27" s="2">
        <f t="shared" si="3"/>
        <v>159.25</v>
      </c>
    </row>
    <row r="28">
      <c r="A28" s="32">
        <v>24.0</v>
      </c>
      <c r="B28" s="55" t="s">
        <v>353</v>
      </c>
      <c r="C28" s="55" t="s">
        <v>354</v>
      </c>
      <c r="D28" s="57" t="s">
        <v>40</v>
      </c>
      <c r="E28" s="49"/>
      <c r="F28" s="49"/>
      <c r="G28" s="49"/>
      <c r="H28" s="50"/>
      <c r="I28" s="50"/>
      <c r="J28" s="50"/>
      <c r="K28" s="48">
        <v>636.0</v>
      </c>
      <c r="L28" s="52"/>
      <c r="M28" s="52"/>
      <c r="N28" s="54"/>
      <c r="O28" s="54"/>
      <c r="P28" s="54"/>
      <c r="Q28" s="138">
        <f t="shared" si="1"/>
        <v>159</v>
      </c>
      <c r="R28" s="138">
        <f t="shared" si="2"/>
        <v>0</v>
      </c>
      <c r="S28" s="2">
        <f t="shared" si="3"/>
        <v>159</v>
      </c>
    </row>
    <row r="29">
      <c r="A29" s="21">
        <v>25.0</v>
      </c>
      <c r="B29" s="22" t="s">
        <v>355</v>
      </c>
      <c r="C29" s="22" t="s">
        <v>168</v>
      </c>
      <c r="D29" s="22"/>
      <c r="E29" s="24">
        <v>607.0</v>
      </c>
      <c r="F29" s="25"/>
      <c r="G29" s="25"/>
      <c r="H29" s="27"/>
      <c r="I29" s="27"/>
      <c r="J29" s="15"/>
      <c r="K29" s="48"/>
      <c r="L29" s="48"/>
      <c r="M29" s="48"/>
      <c r="N29" s="47"/>
      <c r="O29" s="47"/>
      <c r="P29" s="47"/>
      <c r="Q29" s="138">
        <f t="shared" si="1"/>
        <v>151.75</v>
      </c>
      <c r="R29" s="138">
        <f t="shared" si="2"/>
        <v>0</v>
      </c>
      <c r="S29" s="2">
        <f t="shared" si="3"/>
        <v>151.75</v>
      </c>
    </row>
    <row r="30">
      <c r="A30" s="32">
        <v>26.0</v>
      </c>
      <c r="B30" s="31" t="s">
        <v>356</v>
      </c>
      <c r="C30" s="22" t="s">
        <v>32</v>
      </c>
      <c r="D30" s="22"/>
      <c r="E30" s="25"/>
      <c r="F30" s="25"/>
      <c r="G30" s="25"/>
      <c r="H30" s="27"/>
      <c r="I30" s="27"/>
      <c r="J30" s="27"/>
      <c r="K30" s="28"/>
      <c r="L30" s="28"/>
      <c r="M30" s="28"/>
      <c r="N30" s="29">
        <v>588.0</v>
      </c>
      <c r="O30" s="47"/>
      <c r="P30" s="47"/>
      <c r="Q30" s="138">
        <f t="shared" si="1"/>
        <v>147</v>
      </c>
      <c r="R30" s="138">
        <f t="shared" si="2"/>
        <v>0</v>
      </c>
      <c r="S30" s="2">
        <f t="shared" si="3"/>
        <v>147</v>
      </c>
    </row>
    <row r="31">
      <c r="A31" s="21">
        <v>27.0</v>
      </c>
      <c r="B31" s="55" t="s">
        <v>357</v>
      </c>
      <c r="C31" s="3" t="s">
        <v>168</v>
      </c>
      <c r="D31" s="3"/>
      <c r="E31" s="49"/>
      <c r="F31" s="49"/>
      <c r="G31" s="49"/>
      <c r="H31" s="50"/>
      <c r="I31" s="50"/>
      <c r="J31" s="50"/>
      <c r="K31" s="51">
        <v>587.0</v>
      </c>
      <c r="L31" s="52"/>
      <c r="M31" s="52"/>
      <c r="N31" s="54"/>
      <c r="O31" s="54"/>
      <c r="P31" s="54"/>
      <c r="Q31" s="138">
        <f t="shared" si="1"/>
        <v>146.75</v>
      </c>
      <c r="R31" s="138">
        <f t="shared" si="2"/>
        <v>0</v>
      </c>
      <c r="S31" s="2">
        <f t="shared" si="3"/>
        <v>146.75</v>
      </c>
    </row>
    <row r="32">
      <c r="A32" s="32">
        <v>28.0</v>
      </c>
      <c r="B32" s="22" t="s">
        <v>358</v>
      </c>
      <c r="C32" s="22" t="s">
        <v>32</v>
      </c>
      <c r="D32" s="22"/>
      <c r="E32" s="24"/>
      <c r="F32" s="25"/>
      <c r="G32" s="25"/>
      <c r="H32" s="26">
        <v>582.0</v>
      </c>
      <c r="I32" s="27"/>
      <c r="J32" s="15"/>
      <c r="K32" s="48"/>
      <c r="L32" s="48"/>
      <c r="M32" s="48"/>
      <c r="N32" s="47"/>
      <c r="O32" s="47"/>
      <c r="P32" s="47"/>
      <c r="Q32" s="138">
        <f t="shared" si="1"/>
        <v>145.5</v>
      </c>
      <c r="R32" s="138">
        <f t="shared" si="2"/>
        <v>0</v>
      </c>
      <c r="S32" s="2">
        <f t="shared" si="3"/>
        <v>145.5</v>
      </c>
    </row>
    <row r="33">
      <c r="A33" s="21">
        <v>29.0</v>
      </c>
      <c r="B33" s="31" t="s">
        <v>359</v>
      </c>
      <c r="C33" s="31" t="s">
        <v>226</v>
      </c>
      <c r="D33" s="31"/>
      <c r="E33" s="25"/>
      <c r="F33" s="25"/>
      <c r="G33" s="25"/>
      <c r="H33" s="27"/>
      <c r="I33" s="27"/>
      <c r="J33" s="27"/>
      <c r="K33" s="28"/>
      <c r="L33" s="28"/>
      <c r="M33" s="28"/>
      <c r="N33" s="29">
        <v>572.0</v>
      </c>
      <c r="O33" s="47"/>
      <c r="P33" s="47"/>
      <c r="Q33" s="138">
        <f t="shared" si="1"/>
        <v>143</v>
      </c>
      <c r="R33" s="138">
        <f t="shared" si="2"/>
        <v>0</v>
      </c>
      <c r="S33" s="2">
        <f t="shared" si="3"/>
        <v>143</v>
      </c>
    </row>
    <row r="34">
      <c r="A34" s="32">
        <v>30.0</v>
      </c>
      <c r="B34" s="31" t="s">
        <v>360</v>
      </c>
      <c r="C34" s="31" t="s">
        <v>60</v>
      </c>
      <c r="D34" s="31"/>
      <c r="E34" s="25"/>
      <c r="F34" s="25"/>
      <c r="G34" s="25"/>
      <c r="H34" s="27"/>
      <c r="I34" s="27"/>
      <c r="J34" s="27"/>
      <c r="K34" s="28"/>
      <c r="L34" s="28"/>
      <c r="M34" s="28"/>
      <c r="N34" s="29">
        <v>390.0</v>
      </c>
      <c r="O34" s="47"/>
      <c r="P34" s="47"/>
      <c r="Q34" s="138">
        <f t="shared" si="1"/>
        <v>97.5</v>
      </c>
      <c r="R34" s="138">
        <f t="shared" si="2"/>
        <v>0</v>
      </c>
      <c r="S34" s="2">
        <f t="shared" si="3"/>
        <v>97.5</v>
      </c>
    </row>
    <row r="3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4" width="6.0"/>
    <col customWidth="1" min="15" max="16" width="5.25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132" t="s">
        <v>2</v>
      </c>
      <c r="L3" s="5"/>
      <c r="M3" s="6"/>
      <c r="N3" s="9" t="s">
        <v>3</v>
      </c>
      <c r="O3" s="5"/>
      <c r="P3" s="6"/>
      <c r="Q3" s="90"/>
      <c r="R3" s="90"/>
      <c r="S3" s="3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46" t="s">
        <v>8</v>
      </c>
      <c r="L4" s="46" t="s">
        <v>9</v>
      </c>
      <c r="M4" s="46" t="s">
        <v>10</v>
      </c>
      <c r="N4" s="17" t="s">
        <v>8</v>
      </c>
      <c r="O4" s="17" t="s">
        <v>9</v>
      </c>
      <c r="P4" s="17" t="s">
        <v>10</v>
      </c>
      <c r="Q4" s="18" t="s">
        <v>11</v>
      </c>
      <c r="R4" s="19" t="s">
        <v>12</v>
      </c>
      <c r="S4" s="20" t="s">
        <v>13</v>
      </c>
    </row>
    <row r="5">
      <c r="A5" s="21">
        <v>1.0</v>
      </c>
      <c r="B5" s="23" t="s">
        <v>361</v>
      </c>
      <c r="C5" s="23" t="s">
        <v>67</v>
      </c>
      <c r="D5" s="23" t="s">
        <v>21</v>
      </c>
      <c r="E5" s="24">
        <v>663.0</v>
      </c>
      <c r="F5" s="24">
        <v>3.0</v>
      </c>
      <c r="G5" s="43">
        <v>50.0</v>
      </c>
      <c r="H5" s="26">
        <v>687.0</v>
      </c>
      <c r="I5" s="26">
        <v>2.0</v>
      </c>
      <c r="J5" s="44">
        <v>60.0</v>
      </c>
      <c r="K5" s="28">
        <v>681.0</v>
      </c>
      <c r="L5" s="28">
        <v>4.0</v>
      </c>
      <c r="M5" s="28">
        <v>40.0</v>
      </c>
      <c r="N5" s="29">
        <v>689.0</v>
      </c>
      <c r="O5" s="45">
        <v>2.0</v>
      </c>
      <c r="P5" s="45">
        <v>60.0</v>
      </c>
      <c r="Q5" s="30">
        <f t="shared" ref="Q5:Q45" si="1">(E5+H5+N5+K5)/4</f>
        <v>680</v>
      </c>
      <c r="R5" s="48">
        <f t="shared" ref="R5:R45" si="2">G5+J5+P5+M5</f>
        <v>210</v>
      </c>
      <c r="S5" s="2">
        <f t="shared" ref="S5:S45" si="3">Q5+R5</f>
        <v>890</v>
      </c>
    </row>
    <row r="6">
      <c r="A6" s="32">
        <v>2.0</v>
      </c>
      <c r="B6" s="23" t="s">
        <v>362</v>
      </c>
      <c r="C6" s="23" t="s">
        <v>67</v>
      </c>
      <c r="D6" s="23" t="s">
        <v>27</v>
      </c>
      <c r="E6" s="24">
        <v>686.0</v>
      </c>
      <c r="F6" s="24">
        <v>2.0</v>
      </c>
      <c r="G6" s="43">
        <v>60.0</v>
      </c>
      <c r="H6" s="26">
        <v>682.0</v>
      </c>
      <c r="I6" s="26">
        <v>1.0</v>
      </c>
      <c r="J6" s="44">
        <v>70.0</v>
      </c>
      <c r="K6" s="28">
        <v>685.0</v>
      </c>
      <c r="L6" s="28">
        <v>3.0</v>
      </c>
      <c r="M6" s="28">
        <v>50.0</v>
      </c>
      <c r="N6" s="29">
        <v>690.0</v>
      </c>
      <c r="O6" s="45"/>
      <c r="P6" s="45"/>
      <c r="Q6" s="30">
        <f t="shared" si="1"/>
        <v>685.75</v>
      </c>
      <c r="R6" s="48">
        <f t="shared" si="2"/>
        <v>180</v>
      </c>
      <c r="S6" s="2">
        <f t="shared" si="3"/>
        <v>865.75</v>
      </c>
    </row>
    <row r="7">
      <c r="A7" s="21">
        <v>3.0</v>
      </c>
      <c r="B7" s="23" t="s">
        <v>363</v>
      </c>
      <c r="C7" s="23" t="s">
        <v>32</v>
      </c>
      <c r="D7" s="23" t="s">
        <v>364</v>
      </c>
      <c r="E7" s="24">
        <v>668.0</v>
      </c>
      <c r="F7" s="24">
        <v>4.0</v>
      </c>
      <c r="G7" s="43">
        <v>40.0</v>
      </c>
      <c r="H7" s="44">
        <v>675.0</v>
      </c>
      <c r="I7" s="26">
        <v>5.0</v>
      </c>
      <c r="J7" s="26">
        <v>30.0</v>
      </c>
      <c r="K7" s="28">
        <v>685.0</v>
      </c>
      <c r="L7" s="28">
        <v>2.0</v>
      </c>
      <c r="M7" s="28">
        <v>60.0</v>
      </c>
      <c r="N7" s="29">
        <v>684.0</v>
      </c>
      <c r="O7" s="45">
        <v>5.0</v>
      </c>
      <c r="P7" s="45">
        <v>30.0</v>
      </c>
      <c r="Q7" s="30">
        <f t="shared" si="1"/>
        <v>678</v>
      </c>
      <c r="R7" s="48">
        <f t="shared" si="2"/>
        <v>160</v>
      </c>
      <c r="S7" s="2">
        <f t="shared" si="3"/>
        <v>838</v>
      </c>
    </row>
    <row r="8">
      <c r="A8" s="32">
        <v>4.0</v>
      </c>
      <c r="B8" s="33" t="s">
        <v>365</v>
      </c>
      <c r="C8" s="33" t="s">
        <v>67</v>
      </c>
      <c r="D8" s="33" t="s">
        <v>366</v>
      </c>
      <c r="E8" s="34">
        <v>659.0</v>
      </c>
      <c r="F8" s="70"/>
      <c r="G8" s="140"/>
      <c r="H8" s="37">
        <v>670.0</v>
      </c>
      <c r="I8" s="36">
        <v>8.0</v>
      </c>
      <c r="J8" s="36">
        <v>5.0</v>
      </c>
      <c r="K8" s="88">
        <v>689.0</v>
      </c>
      <c r="L8" s="88">
        <v>1.0</v>
      </c>
      <c r="M8" s="88">
        <v>70.0</v>
      </c>
      <c r="N8" s="141">
        <v>690.0</v>
      </c>
      <c r="O8" s="141">
        <v>3.0</v>
      </c>
      <c r="P8" s="141">
        <v>50.0</v>
      </c>
      <c r="Q8" s="40">
        <f t="shared" si="1"/>
        <v>677</v>
      </c>
      <c r="R8" s="76">
        <f t="shared" si="2"/>
        <v>125</v>
      </c>
      <c r="S8" s="41">
        <f t="shared" si="3"/>
        <v>802</v>
      </c>
    </row>
    <row r="9">
      <c r="A9" s="21">
        <v>5.0</v>
      </c>
      <c r="B9" s="23" t="s">
        <v>367</v>
      </c>
      <c r="C9" s="23" t="s">
        <v>36</v>
      </c>
      <c r="D9" s="23" t="s">
        <v>34</v>
      </c>
      <c r="E9" s="24">
        <v>679.0</v>
      </c>
      <c r="F9" s="24">
        <v>1.0</v>
      </c>
      <c r="G9" s="43">
        <v>70.0</v>
      </c>
      <c r="H9" s="26">
        <v>680.0</v>
      </c>
      <c r="I9" s="26">
        <v>7.0</v>
      </c>
      <c r="J9" s="44">
        <v>10.0</v>
      </c>
      <c r="K9" s="28">
        <v>671.0</v>
      </c>
      <c r="L9" s="28"/>
      <c r="M9" s="28"/>
      <c r="N9" s="29">
        <v>659.0</v>
      </c>
      <c r="O9" s="45">
        <v>4.0</v>
      </c>
      <c r="P9" s="45">
        <v>40.0</v>
      </c>
      <c r="Q9" s="30">
        <f t="shared" si="1"/>
        <v>672.25</v>
      </c>
      <c r="R9" s="48">
        <f t="shared" si="2"/>
        <v>120</v>
      </c>
      <c r="S9" s="2">
        <f t="shared" si="3"/>
        <v>792.25</v>
      </c>
    </row>
    <row r="10">
      <c r="A10" s="32">
        <v>6.0</v>
      </c>
      <c r="B10" s="22" t="s">
        <v>368</v>
      </c>
      <c r="C10" s="22" t="s">
        <v>15</v>
      </c>
      <c r="D10" s="23" t="s">
        <v>23</v>
      </c>
      <c r="E10" s="24">
        <v>649.0</v>
      </c>
      <c r="F10" s="25"/>
      <c r="G10" s="25"/>
      <c r="H10" s="26">
        <v>650.0</v>
      </c>
      <c r="I10" s="27"/>
      <c r="J10" s="15"/>
      <c r="K10" s="28">
        <v>662.0</v>
      </c>
      <c r="L10" s="28"/>
      <c r="M10" s="28"/>
      <c r="N10" s="29">
        <v>674.0</v>
      </c>
      <c r="O10" s="29">
        <v>1.0</v>
      </c>
      <c r="P10" s="29">
        <v>70.0</v>
      </c>
      <c r="Q10" s="30">
        <f t="shared" si="1"/>
        <v>658.75</v>
      </c>
      <c r="R10" s="48">
        <f t="shared" si="2"/>
        <v>70</v>
      </c>
      <c r="S10" s="2">
        <f t="shared" si="3"/>
        <v>728.75</v>
      </c>
    </row>
    <row r="11">
      <c r="A11" s="21">
        <v>7.0</v>
      </c>
      <c r="B11" s="23" t="s">
        <v>313</v>
      </c>
      <c r="C11" s="23" t="s">
        <v>32</v>
      </c>
      <c r="D11" s="23" t="s">
        <v>40</v>
      </c>
      <c r="E11" s="24">
        <v>661.0</v>
      </c>
      <c r="F11" s="25"/>
      <c r="G11" s="14"/>
      <c r="H11" s="44">
        <v>676.0</v>
      </c>
      <c r="I11" s="26">
        <v>4.0</v>
      </c>
      <c r="J11" s="26">
        <v>40.0</v>
      </c>
      <c r="K11" s="28">
        <v>677.0</v>
      </c>
      <c r="L11" s="28"/>
      <c r="M11" s="28"/>
      <c r="N11" s="29">
        <v>670.0</v>
      </c>
      <c r="O11" s="45">
        <v>7.0</v>
      </c>
      <c r="P11" s="45">
        <v>10.0</v>
      </c>
      <c r="Q11" s="30">
        <f t="shared" si="1"/>
        <v>671</v>
      </c>
      <c r="R11" s="48">
        <f t="shared" si="2"/>
        <v>50</v>
      </c>
      <c r="S11" s="2">
        <f t="shared" si="3"/>
        <v>721</v>
      </c>
    </row>
    <row r="12">
      <c r="A12" s="32">
        <v>8.0</v>
      </c>
      <c r="B12" s="22" t="s">
        <v>369</v>
      </c>
      <c r="C12" s="22" t="s">
        <v>18</v>
      </c>
      <c r="D12" s="22" t="s">
        <v>34</v>
      </c>
      <c r="E12" s="24">
        <v>626.0</v>
      </c>
      <c r="F12" s="25"/>
      <c r="G12" s="25"/>
      <c r="H12" s="26">
        <v>637.0</v>
      </c>
      <c r="I12" s="27"/>
      <c r="J12" s="15"/>
      <c r="K12" s="28">
        <v>662.0</v>
      </c>
      <c r="L12" s="28"/>
      <c r="M12" s="28"/>
      <c r="N12" s="29">
        <v>635.0</v>
      </c>
      <c r="O12" s="29">
        <v>8.0</v>
      </c>
      <c r="P12" s="29">
        <v>5.0</v>
      </c>
      <c r="Q12" s="30">
        <f t="shared" si="1"/>
        <v>640</v>
      </c>
      <c r="R12" s="48">
        <f t="shared" si="2"/>
        <v>5</v>
      </c>
      <c r="S12" s="2">
        <f t="shared" si="3"/>
        <v>645</v>
      </c>
    </row>
    <row r="13">
      <c r="A13" s="21">
        <v>9.0</v>
      </c>
      <c r="B13" s="22" t="s">
        <v>370</v>
      </c>
      <c r="C13" s="22" t="s">
        <v>32</v>
      </c>
      <c r="D13" s="23" t="s">
        <v>40</v>
      </c>
      <c r="E13" s="24">
        <v>623.0</v>
      </c>
      <c r="F13" s="25"/>
      <c r="G13" s="25"/>
      <c r="H13" s="26">
        <v>644.0</v>
      </c>
      <c r="I13" s="27"/>
      <c r="J13" s="27"/>
      <c r="K13" s="28">
        <v>654.0</v>
      </c>
      <c r="L13" s="28"/>
      <c r="M13" s="28"/>
      <c r="N13" s="29">
        <v>649.0</v>
      </c>
      <c r="O13" s="47"/>
      <c r="P13" s="47"/>
      <c r="Q13" s="30">
        <f t="shared" si="1"/>
        <v>642.5</v>
      </c>
      <c r="R13" s="48">
        <f t="shared" si="2"/>
        <v>0</v>
      </c>
      <c r="S13" s="2">
        <f t="shared" si="3"/>
        <v>642.5</v>
      </c>
    </row>
    <row r="14">
      <c r="A14" s="32">
        <v>10.0</v>
      </c>
      <c r="B14" s="22" t="s">
        <v>319</v>
      </c>
      <c r="C14" s="22" t="s">
        <v>15</v>
      </c>
      <c r="D14" s="22"/>
      <c r="E14" s="24">
        <v>625.0</v>
      </c>
      <c r="F14" s="25"/>
      <c r="G14" s="25"/>
      <c r="H14" s="26">
        <v>644.0</v>
      </c>
      <c r="I14" s="27"/>
      <c r="J14" s="27"/>
      <c r="K14" s="28">
        <v>624.0</v>
      </c>
      <c r="L14" s="28"/>
      <c r="M14" s="28"/>
      <c r="N14" s="29">
        <v>609.0</v>
      </c>
      <c r="O14" s="47"/>
      <c r="P14" s="47"/>
      <c r="Q14" s="30">
        <f t="shared" si="1"/>
        <v>625.5</v>
      </c>
      <c r="R14" s="48">
        <f t="shared" si="2"/>
        <v>0</v>
      </c>
      <c r="S14" s="2">
        <f t="shared" si="3"/>
        <v>625.5</v>
      </c>
    </row>
    <row r="15">
      <c r="A15" s="21">
        <v>11.0</v>
      </c>
      <c r="B15" s="22" t="s">
        <v>371</v>
      </c>
      <c r="C15" s="22" t="s">
        <v>15</v>
      </c>
      <c r="D15" s="23" t="s">
        <v>34</v>
      </c>
      <c r="E15" s="24">
        <v>314.0</v>
      </c>
      <c r="F15" s="25"/>
      <c r="G15" s="25"/>
      <c r="H15" s="26">
        <v>643.0</v>
      </c>
      <c r="I15" s="27"/>
      <c r="J15" s="27"/>
      <c r="K15" s="28">
        <v>660.0</v>
      </c>
      <c r="L15" s="28">
        <v>7.0</v>
      </c>
      <c r="M15" s="28">
        <v>10.0</v>
      </c>
      <c r="N15" s="29">
        <v>652.0</v>
      </c>
      <c r="O15" s="47"/>
      <c r="P15" s="47"/>
      <c r="Q15" s="30">
        <f t="shared" si="1"/>
        <v>567.25</v>
      </c>
      <c r="R15" s="48">
        <f t="shared" si="2"/>
        <v>10</v>
      </c>
      <c r="S15" s="2">
        <f t="shared" si="3"/>
        <v>577.25</v>
      </c>
    </row>
    <row r="16">
      <c r="A16" s="32">
        <v>12.0</v>
      </c>
      <c r="B16" s="22" t="s">
        <v>372</v>
      </c>
      <c r="C16" s="22" t="s">
        <v>15</v>
      </c>
      <c r="D16" s="23" t="s">
        <v>34</v>
      </c>
      <c r="E16" s="24">
        <v>643.0</v>
      </c>
      <c r="F16" s="25"/>
      <c r="G16" s="25"/>
      <c r="H16" s="26">
        <v>673.0</v>
      </c>
      <c r="I16" s="26">
        <v>3.0</v>
      </c>
      <c r="J16" s="44">
        <v>50.0</v>
      </c>
      <c r="K16" s="28">
        <v>656.0</v>
      </c>
      <c r="L16" s="28">
        <v>5.0</v>
      </c>
      <c r="M16" s="28">
        <v>30.0</v>
      </c>
      <c r="N16" s="29"/>
      <c r="O16" s="47"/>
      <c r="P16" s="47"/>
      <c r="Q16" s="30">
        <f t="shared" si="1"/>
        <v>493</v>
      </c>
      <c r="R16" s="48">
        <f t="shared" si="2"/>
        <v>80</v>
      </c>
      <c r="S16" s="2">
        <f t="shared" si="3"/>
        <v>573</v>
      </c>
    </row>
    <row r="17">
      <c r="A17" s="21">
        <v>13.0</v>
      </c>
      <c r="B17" s="23" t="s">
        <v>373</v>
      </c>
      <c r="C17" s="23" t="s">
        <v>18</v>
      </c>
      <c r="D17" s="23" t="s">
        <v>34</v>
      </c>
      <c r="E17" s="24">
        <v>660.0</v>
      </c>
      <c r="F17" s="24">
        <v>7.0</v>
      </c>
      <c r="G17" s="43">
        <v>10.0</v>
      </c>
      <c r="H17" s="26">
        <v>668.0</v>
      </c>
      <c r="I17" s="26">
        <v>6.0</v>
      </c>
      <c r="J17" s="26">
        <v>20.0</v>
      </c>
      <c r="K17" s="28"/>
      <c r="L17" s="28"/>
      <c r="M17" s="28"/>
      <c r="N17" s="29">
        <v>655.0</v>
      </c>
      <c r="O17" s="45">
        <v>5.0</v>
      </c>
      <c r="P17" s="45">
        <v>30.0</v>
      </c>
      <c r="Q17" s="30">
        <f t="shared" si="1"/>
        <v>495.75</v>
      </c>
      <c r="R17" s="48">
        <f t="shared" si="2"/>
        <v>60</v>
      </c>
      <c r="S17" s="2">
        <f t="shared" si="3"/>
        <v>555.75</v>
      </c>
    </row>
    <row r="18">
      <c r="A18" s="32">
        <v>14.0</v>
      </c>
      <c r="B18" s="23" t="s">
        <v>374</v>
      </c>
      <c r="C18" s="23" t="s">
        <v>168</v>
      </c>
      <c r="D18" s="23"/>
      <c r="E18" s="24">
        <v>661.0</v>
      </c>
      <c r="F18" s="24">
        <v>5.0</v>
      </c>
      <c r="G18" s="43">
        <v>30.0</v>
      </c>
      <c r="H18" s="15"/>
      <c r="I18" s="27"/>
      <c r="J18" s="27"/>
      <c r="K18" s="28">
        <v>659.0</v>
      </c>
      <c r="L18" s="28"/>
      <c r="M18" s="28"/>
      <c r="N18" s="29">
        <v>660.0</v>
      </c>
      <c r="O18" s="17"/>
      <c r="P18" s="17"/>
      <c r="Q18" s="30">
        <f t="shared" si="1"/>
        <v>495</v>
      </c>
      <c r="R18" s="48">
        <f t="shared" si="2"/>
        <v>30</v>
      </c>
      <c r="S18" s="2">
        <f t="shared" si="3"/>
        <v>525</v>
      </c>
    </row>
    <row r="19">
      <c r="A19" s="21">
        <v>15.0</v>
      </c>
      <c r="B19" s="22" t="s">
        <v>375</v>
      </c>
      <c r="C19" s="22" t="s">
        <v>67</v>
      </c>
      <c r="D19" s="22" t="s">
        <v>21</v>
      </c>
      <c r="E19" s="24">
        <v>643.0</v>
      </c>
      <c r="F19" s="25"/>
      <c r="G19" s="25"/>
      <c r="H19" s="27"/>
      <c r="I19" s="27"/>
      <c r="J19" s="15"/>
      <c r="K19" s="28">
        <v>651.0</v>
      </c>
      <c r="L19" s="28"/>
      <c r="M19" s="28"/>
      <c r="N19" s="29">
        <v>660.0</v>
      </c>
      <c r="O19" s="47"/>
      <c r="P19" s="47"/>
      <c r="Q19" s="30">
        <f t="shared" si="1"/>
        <v>488.5</v>
      </c>
      <c r="R19" s="48">
        <f t="shared" si="2"/>
        <v>0</v>
      </c>
      <c r="S19" s="2">
        <f t="shared" si="3"/>
        <v>488.5</v>
      </c>
    </row>
    <row r="20">
      <c r="A20" s="32">
        <v>16.0</v>
      </c>
      <c r="B20" s="22" t="s">
        <v>376</v>
      </c>
      <c r="C20" s="22" t="s">
        <v>51</v>
      </c>
      <c r="D20" s="23" t="s">
        <v>34</v>
      </c>
      <c r="E20" s="24">
        <v>639.0</v>
      </c>
      <c r="F20" s="25"/>
      <c r="G20" s="25"/>
      <c r="H20" s="26">
        <v>650.0</v>
      </c>
      <c r="I20" s="27"/>
      <c r="J20" s="27"/>
      <c r="K20" s="28">
        <v>654.0</v>
      </c>
      <c r="L20" s="28"/>
      <c r="M20" s="28"/>
      <c r="N20" s="29"/>
      <c r="O20" s="47"/>
      <c r="P20" s="47"/>
      <c r="Q20" s="30">
        <f t="shared" si="1"/>
        <v>485.75</v>
      </c>
      <c r="R20" s="48">
        <f t="shared" si="2"/>
        <v>0</v>
      </c>
      <c r="S20" s="2">
        <f t="shared" si="3"/>
        <v>485.75</v>
      </c>
    </row>
    <row r="21">
      <c r="A21" s="21">
        <v>17.0</v>
      </c>
      <c r="B21" s="22" t="s">
        <v>377</v>
      </c>
      <c r="C21" s="22" t="s">
        <v>36</v>
      </c>
      <c r="D21" s="22"/>
      <c r="E21" s="24">
        <v>625.0</v>
      </c>
      <c r="F21" s="25"/>
      <c r="G21" s="25"/>
      <c r="H21" s="26">
        <v>625.0</v>
      </c>
      <c r="I21" s="27"/>
      <c r="J21" s="27"/>
      <c r="K21" s="28">
        <v>642.0</v>
      </c>
      <c r="L21" s="28"/>
      <c r="M21" s="28"/>
      <c r="N21" s="29"/>
      <c r="O21" s="47"/>
      <c r="P21" s="47"/>
      <c r="Q21" s="30">
        <f t="shared" si="1"/>
        <v>473</v>
      </c>
      <c r="R21" s="48">
        <f t="shared" si="2"/>
        <v>0</v>
      </c>
      <c r="S21" s="2">
        <f t="shared" si="3"/>
        <v>473</v>
      </c>
    </row>
    <row r="22">
      <c r="A22" s="32">
        <v>18.0</v>
      </c>
      <c r="B22" s="22" t="s">
        <v>378</v>
      </c>
      <c r="C22" s="22" t="s">
        <v>32</v>
      </c>
      <c r="D22" s="23" t="s">
        <v>40</v>
      </c>
      <c r="E22" s="24">
        <v>598.0</v>
      </c>
      <c r="F22" s="25"/>
      <c r="G22" s="25"/>
      <c r="H22" s="26">
        <v>644.0</v>
      </c>
      <c r="I22" s="27"/>
      <c r="J22" s="27"/>
      <c r="K22" s="28">
        <v>642.0</v>
      </c>
      <c r="L22" s="28"/>
      <c r="M22" s="28"/>
      <c r="N22" s="29"/>
      <c r="O22" s="47"/>
      <c r="P22" s="47"/>
      <c r="Q22" s="30">
        <f t="shared" si="1"/>
        <v>471</v>
      </c>
      <c r="R22" s="48">
        <f t="shared" si="2"/>
        <v>0</v>
      </c>
      <c r="S22" s="2">
        <f t="shared" si="3"/>
        <v>471</v>
      </c>
    </row>
    <row r="23">
      <c r="A23" s="21">
        <v>19.0</v>
      </c>
      <c r="B23" s="22" t="s">
        <v>379</v>
      </c>
      <c r="C23" s="22" t="s">
        <v>18</v>
      </c>
      <c r="D23" s="22"/>
      <c r="E23" s="24">
        <v>599.0</v>
      </c>
      <c r="F23" s="25"/>
      <c r="G23" s="25"/>
      <c r="H23" s="26">
        <v>627.0</v>
      </c>
      <c r="I23" s="27"/>
      <c r="J23" s="27"/>
      <c r="K23" s="28">
        <v>645.0</v>
      </c>
      <c r="L23" s="28"/>
      <c r="M23" s="28"/>
      <c r="N23" s="29"/>
      <c r="O23" s="47"/>
      <c r="P23" s="47"/>
      <c r="Q23" s="30">
        <f t="shared" si="1"/>
        <v>467.75</v>
      </c>
      <c r="R23" s="48">
        <f t="shared" si="2"/>
        <v>0</v>
      </c>
      <c r="S23" s="2">
        <f t="shared" si="3"/>
        <v>467.75</v>
      </c>
    </row>
    <row r="24">
      <c r="A24" s="32">
        <v>20.0</v>
      </c>
      <c r="B24" s="22" t="s">
        <v>380</v>
      </c>
      <c r="C24" s="22" t="s">
        <v>51</v>
      </c>
      <c r="D24" s="22"/>
      <c r="E24" s="24">
        <v>594.0</v>
      </c>
      <c r="F24" s="25"/>
      <c r="G24" s="25"/>
      <c r="H24" s="26">
        <v>619.0</v>
      </c>
      <c r="I24" s="27"/>
      <c r="J24" s="27"/>
      <c r="K24" s="28">
        <v>658.0</v>
      </c>
      <c r="L24" s="28"/>
      <c r="M24" s="28"/>
      <c r="N24" s="29"/>
      <c r="O24" s="47"/>
      <c r="P24" s="47"/>
      <c r="Q24" s="30">
        <f t="shared" si="1"/>
        <v>467.75</v>
      </c>
      <c r="R24" s="48">
        <f t="shared" si="2"/>
        <v>0</v>
      </c>
      <c r="S24" s="2">
        <f t="shared" si="3"/>
        <v>467.75</v>
      </c>
    </row>
    <row r="25">
      <c r="A25" s="21">
        <v>21.0</v>
      </c>
      <c r="B25" s="22" t="s">
        <v>381</v>
      </c>
      <c r="C25" s="22" t="s">
        <v>51</v>
      </c>
      <c r="D25" s="22"/>
      <c r="E25" s="24">
        <v>585.0</v>
      </c>
      <c r="F25" s="25"/>
      <c r="G25" s="25"/>
      <c r="H25" s="26">
        <v>608.0</v>
      </c>
      <c r="I25" s="27"/>
      <c r="J25" s="27"/>
      <c r="K25" s="28">
        <v>638.0</v>
      </c>
      <c r="L25" s="28"/>
      <c r="M25" s="28"/>
      <c r="N25" s="29"/>
      <c r="O25" s="47"/>
      <c r="P25" s="47"/>
      <c r="Q25" s="30">
        <f t="shared" si="1"/>
        <v>457.75</v>
      </c>
      <c r="R25" s="48">
        <f t="shared" si="2"/>
        <v>0</v>
      </c>
      <c r="S25" s="2">
        <f t="shared" si="3"/>
        <v>457.75</v>
      </c>
    </row>
    <row r="26">
      <c r="A26" s="32">
        <v>22.0</v>
      </c>
      <c r="B26" s="22" t="s">
        <v>325</v>
      </c>
      <c r="C26" s="22" t="s">
        <v>168</v>
      </c>
      <c r="D26" s="22"/>
      <c r="E26" s="24">
        <v>553.0</v>
      </c>
      <c r="F26" s="25"/>
      <c r="G26" s="25"/>
      <c r="H26" s="27"/>
      <c r="I26" s="27"/>
      <c r="J26" s="27"/>
      <c r="K26" s="28">
        <v>574.0</v>
      </c>
      <c r="L26" s="28"/>
      <c r="M26" s="28"/>
      <c r="N26" s="29">
        <v>598.0</v>
      </c>
      <c r="O26" s="47"/>
      <c r="P26" s="47"/>
      <c r="Q26" s="30">
        <f t="shared" si="1"/>
        <v>431.25</v>
      </c>
      <c r="R26" s="48">
        <f t="shared" si="2"/>
        <v>0</v>
      </c>
      <c r="S26" s="2">
        <f t="shared" si="3"/>
        <v>431.25</v>
      </c>
    </row>
    <row r="27">
      <c r="A27" s="21">
        <v>23.0</v>
      </c>
      <c r="B27" s="22" t="s">
        <v>382</v>
      </c>
      <c r="C27" s="22" t="s">
        <v>44</v>
      </c>
      <c r="D27" s="22"/>
      <c r="E27" s="24">
        <v>449.0</v>
      </c>
      <c r="F27" s="25"/>
      <c r="G27" s="25"/>
      <c r="H27" s="26">
        <v>548.0</v>
      </c>
      <c r="I27" s="27"/>
      <c r="J27" s="27"/>
      <c r="K27" s="28">
        <v>602.0</v>
      </c>
      <c r="L27" s="28"/>
      <c r="M27" s="28"/>
      <c r="N27" s="29"/>
      <c r="O27" s="47"/>
      <c r="P27" s="47"/>
      <c r="Q27" s="30">
        <f t="shared" si="1"/>
        <v>399.75</v>
      </c>
      <c r="R27" s="48">
        <f t="shared" si="2"/>
        <v>0</v>
      </c>
      <c r="S27" s="2">
        <f t="shared" si="3"/>
        <v>399.75</v>
      </c>
    </row>
    <row r="28">
      <c r="A28" s="32">
        <v>24.0</v>
      </c>
      <c r="B28" s="22" t="s">
        <v>383</v>
      </c>
      <c r="C28" s="22" t="s">
        <v>15</v>
      </c>
      <c r="D28" s="22"/>
      <c r="E28" s="24">
        <v>654.0</v>
      </c>
      <c r="F28" s="24">
        <v>6.0</v>
      </c>
      <c r="G28" s="24">
        <v>20.0</v>
      </c>
      <c r="H28" s="26">
        <v>636.0</v>
      </c>
      <c r="I28" s="27"/>
      <c r="J28" s="27"/>
      <c r="K28" s="48"/>
      <c r="L28" s="48"/>
      <c r="M28" s="48"/>
      <c r="N28" s="47"/>
      <c r="O28" s="17"/>
      <c r="P28" s="17"/>
      <c r="Q28" s="30">
        <f t="shared" si="1"/>
        <v>322.5</v>
      </c>
      <c r="R28" s="48">
        <f t="shared" si="2"/>
        <v>20</v>
      </c>
      <c r="S28" s="2">
        <f t="shared" si="3"/>
        <v>342.5</v>
      </c>
    </row>
    <row r="29">
      <c r="A29" s="21">
        <v>25.0</v>
      </c>
      <c r="B29" s="22" t="s">
        <v>312</v>
      </c>
      <c r="C29" s="22" t="s">
        <v>44</v>
      </c>
      <c r="D29" s="22"/>
      <c r="E29" s="24">
        <v>646.0</v>
      </c>
      <c r="F29" s="24">
        <v>8.0</v>
      </c>
      <c r="G29" s="24">
        <v>5.0</v>
      </c>
      <c r="H29" s="27"/>
      <c r="I29" s="27"/>
      <c r="J29" s="15"/>
      <c r="K29" s="28">
        <v>684.0</v>
      </c>
      <c r="L29" s="28"/>
      <c r="M29" s="28"/>
      <c r="N29" s="29"/>
      <c r="O29" s="47"/>
      <c r="P29" s="47"/>
      <c r="Q29" s="30">
        <f t="shared" si="1"/>
        <v>332.5</v>
      </c>
      <c r="R29" s="48">
        <f t="shared" si="2"/>
        <v>5</v>
      </c>
      <c r="S29" s="2">
        <f t="shared" si="3"/>
        <v>337.5</v>
      </c>
    </row>
    <row r="30">
      <c r="A30" s="32">
        <v>26.0</v>
      </c>
      <c r="B30" s="31" t="s">
        <v>304</v>
      </c>
      <c r="C30" s="31" t="s">
        <v>222</v>
      </c>
      <c r="D30" s="31"/>
      <c r="E30" s="49"/>
      <c r="F30" s="49"/>
      <c r="G30" s="49"/>
      <c r="H30" s="50"/>
      <c r="I30" s="50"/>
      <c r="J30" s="50"/>
      <c r="K30" s="51">
        <v>661.0</v>
      </c>
      <c r="L30" s="51"/>
      <c r="M30" s="51"/>
      <c r="N30" s="53">
        <v>648.0</v>
      </c>
      <c r="O30" s="54"/>
      <c r="P30" s="54"/>
      <c r="Q30" s="30">
        <f t="shared" si="1"/>
        <v>327.25</v>
      </c>
      <c r="R30" s="48">
        <f t="shared" si="2"/>
        <v>0</v>
      </c>
      <c r="S30" s="2">
        <f t="shared" si="3"/>
        <v>327.25</v>
      </c>
    </row>
    <row r="31">
      <c r="A31" s="21">
        <v>27.0</v>
      </c>
      <c r="B31" s="22" t="s">
        <v>384</v>
      </c>
      <c r="C31" s="22" t="s">
        <v>18</v>
      </c>
      <c r="D31" s="22"/>
      <c r="E31" s="24">
        <v>605.0</v>
      </c>
      <c r="F31" s="25"/>
      <c r="G31" s="25"/>
      <c r="H31" s="27"/>
      <c r="I31" s="27"/>
      <c r="J31" s="27"/>
      <c r="K31" s="28">
        <v>630.0</v>
      </c>
      <c r="L31" s="28">
        <v>8.0</v>
      </c>
      <c r="M31" s="28">
        <v>5.0</v>
      </c>
      <c r="N31" s="29"/>
      <c r="O31" s="47"/>
      <c r="P31" s="47"/>
      <c r="Q31" s="30">
        <f t="shared" si="1"/>
        <v>308.75</v>
      </c>
      <c r="R31" s="48">
        <f t="shared" si="2"/>
        <v>5</v>
      </c>
      <c r="S31" s="2">
        <f t="shared" si="3"/>
        <v>313.75</v>
      </c>
    </row>
    <row r="32">
      <c r="A32" s="32">
        <v>28.0</v>
      </c>
      <c r="B32" s="22" t="s">
        <v>385</v>
      </c>
      <c r="C32" s="22" t="s">
        <v>51</v>
      </c>
      <c r="D32" s="22"/>
      <c r="E32" s="25"/>
      <c r="F32" s="25"/>
      <c r="G32" s="25"/>
      <c r="H32" s="26">
        <v>592.0</v>
      </c>
      <c r="I32" s="27"/>
      <c r="J32" s="27"/>
      <c r="K32" s="28">
        <v>663.0</v>
      </c>
      <c r="L32" s="28"/>
      <c r="M32" s="28"/>
      <c r="N32" s="29"/>
      <c r="O32" s="47"/>
      <c r="P32" s="47"/>
      <c r="Q32" s="30">
        <f t="shared" si="1"/>
        <v>313.75</v>
      </c>
      <c r="R32" s="48">
        <f t="shared" si="2"/>
        <v>0</v>
      </c>
      <c r="S32" s="2">
        <f t="shared" si="3"/>
        <v>313.75</v>
      </c>
    </row>
    <row r="33">
      <c r="A33" s="21">
        <v>29.0</v>
      </c>
      <c r="B33" s="22" t="s">
        <v>386</v>
      </c>
      <c r="C33" s="22" t="s">
        <v>18</v>
      </c>
      <c r="D33" s="22"/>
      <c r="E33" s="24">
        <v>584.0</v>
      </c>
      <c r="F33" s="25"/>
      <c r="G33" s="25"/>
      <c r="H33" s="26">
        <v>626.0</v>
      </c>
      <c r="I33" s="27"/>
      <c r="J33" s="27"/>
      <c r="K33" s="48"/>
      <c r="L33" s="48"/>
      <c r="M33" s="48"/>
      <c r="N33" s="47"/>
      <c r="O33" s="47"/>
      <c r="P33" s="47"/>
      <c r="Q33" s="30">
        <f t="shared" si="1"/>
        <v>302.5</v>
      </c>
      <c r="R33" s="48">
        <f t="shared" si="2"/>
        <v>0</v>
      </c>
      <c r="S33" s="2">
        <f t="shared" si="3"/>
        <v>302.5</v>
      </c>
    </row>
    <row r="34">
      <c r="A34" s="32">
        <v>30.0</v>
      </c>
      <c r="B34" s="22" t="s">
        <v>387</v>
      </c>
      <c r="C34" s="22" t="s">
        <v>15</v>
      </c>
      <c r="D34" s="22"/>
      <c r="E34" s="24">
        <v>544.0</v>
      </c>
      <c r="F34" s="25"/>
      <c r="G34" s="25"/>
      <c r="H34" s="26">
        <v>640.0</v>
      </c>
      <c r="I34" s="27"/>
      <c r="J34" s="27"/>
      <c r="K34" s="48"/>
      <c r="L34" s="48"/>
      <c r="M34" s="48"/>
      <c r="N34" s="47"/>
      <c r="O34" s="47"/>
      <c r="P34" s="47"/>
      <c r="Q34" s="30">
        <f t="shared" si="1"/>
        <v>296</v>
      </c>
      <c r="R34" s="48">
        <f t="shared" si="2"/>
        <v>0</v>
      </c>
      <c r="S34" s="2">
        <f t="shared" si="3"/>
        <v>296</v>
      </c>
    </row>
    <row r="35">
      <c r="A35" s="21">
        <v>31.0</v>
      </c>
      <c r="B35" s="22" t="s">
        <v>311</v>
      </c>
      <c r="C35" s="22" t="s">
        <v>32</v>
      </c>
      <c r="D35" s="22"/>
      <c r="E35" s="24">
        <v>415.0</v>
      </c>
      <c r="F35" s="25"/>
      <c r="G35" s="25"/>
      <c r="H35" s="27"/>
      <c r="I35" s="27"/>
      <c r="J35" s="27"/>
      <c r="K35" s="28">
        <v>566.0</v>
      </c>
      <c r="L35" s="28"/>
      <c r="M35" s="28"/>
      <c r="N35" s="29"/>
      <c r="O35" s="47"/>
      <c r="P35" s="47"/>
      <c r="Q35" s="30">
        <f t="shared" si="1"/>
        <v>245.25</v>
      </c>
      <c r="R35" s="48">
        <f t="shared" si="2"/>
        <v>0</v>
      </c>
      <c r="S35" s="2">
        <f t="shared" si="3"/>
        <v>245.25</v>
      </c>
    </row>
    <row r="36">
      <c r="A36" s="32">
        <v>32.0</v>
      </c>
      <c r="B36" s="22" t="s">
        <v>388</v>
      </c>
      <c r="C36" s="22" t="s">
        <v>168</v>
      </c>
      <c r="D36" s="22"/>
      <c r="E36" s="24">
        <v>291.0</v>
      </c>
      <c r="F36" s="25"/>
      <c r="G36" s="25"/>
      <c r="H36" s="27"/>
      <c r="I36" s="27"/>
      <c r="J36" s="27"/>
      <c r="K36" s="28"/>
      <c r="L36" s="28"/>
      <c r="M36" s="28"/>
      <c r="N36" s="29">
        <v>635.0</v>
      </c>
      <c r="O36" s="47"/>
      <c r="P36" s="47"/>
      <c r="Q36" s="30">
        <f t="shared" si="1"/>
        <v>231.5</v>
      </c>
      <c r="R36" s="48">
        <f t="shared" si="2"/>
        <v>0</v>
      </c>
      <c r="S36" s="2">
        <f t="shared" si="3"/>
        <v>231.5</v>
      </c>
    </row>
    <row r="37">
      <c r="A37" s="21">
        <v>33.0</v>
      </c>
      <c r="B37" s="55" t="s">
        <v>301</v>
      </c>
      <c r="C37" s="55" t="s">
        <v>100</v>
      </c>
      <c r="D37" s="55"/>
      <c r="E37" s="49"/>
      <c r="F37" s="49"/>
      <c r="G37" s="49"/>
      <c r="H37" s="50"/>
      <c r="I37" s="50"/>
      <c r="J37" s="50"/>
      <c r="K37" s="56">
        <v>661.0</v>
      </c>
      <c r="L37" s="51">
        <v>6.0</v>
      </c>
      <c r="M37" s="51">
        <v>20.0</v>
      </c>
      <c r="N37" s="54"/>
      <c r="O37" s="54"/>
      <c r="P37" s="54"/>
      <c r="Q37" s="30">
        <f t="shared" si="1"/>
        <v>165.25</v>
      </c>
      <c r="R37" s="48">
        <f t="shared" si="2"/>
        <v>20</v>
      </c>
      <c r="S37" s="2">
        <f t="shared" si="3"/>
        <v>185.25</v>
      </c>
    </row>
    <row r="38">
      <c r="A38" s="32">
        <v>34.0</v>
      </c>
      <c r="B38" s="31" t="s">
        <v>389</v>
      </c>
      <c r="C38" s="31" t="s">
        <v>225</v>
      </c>
      <c r="D38" s="31"/>
      <c r="E38" s="49"/>
      <c r="F38" s="49"/>
      <c r="G38" s="49"/>
      <c r="H38" s="50"/>
      <c r="I38" s="50"/>
      <c r="J38" s="50"/>
      <c r="K38" s="51"/>
      <c r="L38" s="51"/>
      <c r="M38" s="51"/>
      <c r="N38" s="53">
        <v>653.0</v>
      </c>
      <c r="O38" s="54"/>
      <c r="P38" s="54"/>
      <c r="Q38" s="30">
        <f t="shared" si="1"/>
        <v>163.25</v>
      </c>
      <c r="R38" s="48">
        <f t="shared" si="2"/>
        <v>0</v>
      </c>
      <c r="S38" s="2">
        <f t="shared" si="3"/>
        <v>163.25</v>
      </c>
    </row>
    <row r="39">
      <c r="A39" s="21">
        <v>35.0</v>
      </c>
      <c r="B39" s="55" t="s">
        <v>307</v>
      </c>
      <c r="C39" s="3" t="s">
        <v>15</v>
      </c>
      <c r="D39" s="3"/>
      <c r="E39" s="49"/>
      <c r="F39" s="49"/>
      <c r="G39" s="49"/>
      <c r="H39" s="50"/>
      <c r="I39" s="50"/>
      <c r="J39" s="50"/>
      <c r="K39" s="56">
        <v>633.0</v>
      </c>
      <c r="L39" s="52"/>
      <c r="M39" s="52"/>
      <c r="N39" s="54"/>
      <c r="O39" s="54"/>
      <c r="P39" s="54"/>
      <c r="Q39" s="30">
        <f t="shared" si="1"/>
        <v>158.25</v>
      </c>
      <c r="R39" s="48">
        <f t="shared" si="2"/>
        <v>0</v>
      </c>
      <c r="S39" s="2">
        <f t="shared" si="3"/>
        <v>158.25</v>
      </c>
    </row>
    <row r="40">
      <c r="A40" s="32">
        <v>36.0</v>
      </c>
      <c r="B40" s="55" t="s">
        <v>390</v>
      </c>
      <c r="C40" s="55" t="s">
        <v>169</v>
      </c>
      <c r="D40" s="55"/>
      <c r="E40" s="49"/>
      <c r="F40" s="49"/>
      <c r="G40" s="49"/>
      <c r="H40" s="50"/>
      <c r="I40" s="50"/>
      <c r="J40" s="50"/>
      <c r="K40" s="56">
        <v>609.0</v>
      </c>
      <c r="L40" s="52"/>
      <c r="M40" s="52"/>
      <c r="N40" s="54"/>
      <c r="O40" s="54"/>
      <c r="P40" s="54"/>
      <c r="Q40" s="30">
        <f t="shared" si="1"/>
        <v>152.25</v>
      </c>
      <c r="R40" s="48">
        <f t="shared" si="2"/>
        <v>0</v>
      </c>
      <c r="S40" s="2">
        <f t="shared" si="3"/>
        <v>152.25</v>
      </c>
    </row>
    <row r="41">
      <c r="A41" s="21">
        <v>37.0</v>
      </c>
      <c r="B41" s="31" t="s">
        <v>318</v>
      </c>
      <c r="C41" s="31" t="s">
        <v>225</v>
      </c>
      <c r="D41" s="31"/>
      <c r="E41" s="49"/>
      <c r="F41" s="49"/>
      <c r="G41" s="49"/>
      <c r="H41" s="50"/>
      <c r="I41" s="50"/>
      <c r="J41" s="50"/>
      <c r="K41" s="51"/>
      <c r="L41" s="51"/>
      <c r="M41" s="51"/>
      <c r="N41" s="53">
        <v>606.0</v>
      </c>
      <c r="O41" s="54"/>
      <c r="P41" s="54"/>
      <c r="Q41" s="30">
        <f t="shared" si="1"/>
        <v>151.5</v>
      </c>
      <c r="R41" s="48">
        <f t="shared" si="2"/>
        <v>0</v>
      </c>
      <c r="S41" s="2">
        <f t="shared" si="3"/>
        <v>151.5</v>
      </c>
    </row>
    <row r="42">
      <c r="A42" s="32">
        <v>38.0</v>
      </c>
      <c r="B42" s="22" t="s">
        <v>391</v>
      </c>
      <c r="C42" s="22" t="s">
        <v>18</v>
      </c>
      <c r="D42" s="22"/>
      <c r="E42" s="25"/>
      <c r="F42" s="25"/>
      <c r="G42" s="25"/>
      <c r="H42" s="26">
        <v>594.0</v>
      </c>
      <c r="I42" s="27"/>
      <c r="J42" s="27"/>
      <c r="K42" s="48"/>
      <c r="L42" s="48"/>
      <c r="M42" s="48"/>
      <c r="N42" s="47"/>
      <c r="O42" s="47"/>
      <c r="P42" s="47"/>
      <c r="Q42" s="30">
        <f t="shared" si="1"/>
        <v>148.5</v>
      </c>
      <c r="R42" s="48">
        <f t="shared" si="2"/>
        <v>0</v>
      </c>
      <c r="S42" s="2">
        <f t="shared" si="3"/>
        <v>148.5</v>
      </c>
    </row>
    <row r="43">
      <c r="A43" s="21">
        <v>39.0</v>
      </c>
      <c r="B43" s="22" t="s">
        <v>308</v>
      </c>
      <c r="C43" s="22" t="s">
        <v>32</v>
      </c>
      <c r="D43" s="22"/>
      <c r="E43" s="24">
        <v>559.0</v>
      </c>
      <c r="F43" s="25"/>
      <c r="G43" s="25"/>
      <c r="H43" s="27"/>
      <c r="I43" s="27"/>
      <c r="J43" s="27"/>
      <c r="K43" s="48"/>
      <c r="L43" s="48"/>
      <c r="M43" s="48"/>
      <c r="N43" s="47"/>
      <c r="O43" s="47"/>
      <c r="P43" s="47"/>
      <c r="Q43" s="30">
        <f t="shared" si="1"/>
        <v>139.75</v>
      </c>
      <c r="R43" s="48">
        <f t="shared" si="2"/>
        <v>0</v>
      </c>
      <c r="S43" s="2">
        <f t="shared" si="3"/>
        <v>139.75</v>
      </c>
    </row>
    <row r="44">
      <c r="A44" s="32">
        <v>40.0</v>
      </c>
      <c r="B44" s="22" t="s">
        <v>392</v>
      </c>
      <c r="C44" s="22" t="s">
        <v>36</v>
      </c>
      <c r="D44" s="22"/>
      <c r="E44" s="24">
        <v>498.0</v>
      </c>
      <c r="F44" s="25"/>
      <c r="G44" s="25"/>
      <c r="H44" s="27"/>
      <c r="I44" s="27"/>
      <c r="J44" s="27"/>
      <c r="K44" s="48"/>
      <c r="L44" s="48"/>
      <c r="M44" s="48"/>
      <c r="N44" s="47"/>
      <c r="O44" s="47"/>
      <c r="P44" s="47"/>
      <c r="Q44" s="30">
        <f t="shared" si="1"/>
        <v>124.5</v>
      </c>
      <c r="R44" s="48">
        <f t="shared" si="2"/>
        <v>0</v>
      </c>
      <c r="S44" s="2">
        <f t="shared" si="3"/>
        <v>124.5</v>
      </c>
    </row>
    <row r="45">
      <c r="A45" s="21">
        <v>41.0</v>
      </c>
      <c r="B45" s="22" t="s">
        <v>393</v>
      </c>
      <c r="C45" s="22" t="s">
        <v>168</v>
      </c>
      <c r="D45" s="22"/>
      <c r="E45" s="24">
        <v>440.0</v>
      </c>
      <c r="F45" s="25"/>
      <c r="G45" s="25"/>
      <c r="H45" s="27"/>
      <c r="I45" s="27"/>
      <c r="J45" s="27"/>
      <c r="K45" s="48"/>
      <c r="L45" s="48"/>
      <c r="M45" s="48"/>
      <c r="N45" s="47"/>
      <c r="O45" s="47"/>
      <c r="P45" s="47"/>
      <c r="Q45" s="30">
        <f t="shared" si="1"/>
        <v>110</v>
      </c>
      <c r="R45" s="48">
        <f t="shared" si="2"/>
        <v>0</v>
      </c>
      <c r="S45" s="2">
        <f t="shared" si="3"/>
        <v>110</v>
      </c>
    </row>
    <row r="46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5" width="6.25"/>
    <col customWidth="1" min="6" max="6" width="5.0"/>
    <col customWidth="1" min="7" max="7" width="5.88"/>
    <col customWidth="1" min="8" max="9" width="6.0"/>
    <col customWidth="1" min="10" max="10" width="6.25"/>
    <col customWidth="1" min="11" max="14" width="6.0"/>
    <col customWidth="1" min="15" max="16" width="5.25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2"/>
      <c r="B3" s="3"/>
      <c r="C3" s="3"/>
      <c r="D3" s="3"/>
      <c r="E3" s="4" t="s">
        <v>0</v>
      </c>
      <c r="F3" s="5"/>
      <c r="G3" s="6"/>
      <c r="H3" s="7" t="s">
        <v>1</v>
      </c>
      <c r="I3" s="5"/>
      <c r="J3" s="6"/>
      <c r="K3" s="132" t="s">
        <v>2</v>
      </c>
      <c r="L3" s="5"/>
      <c r="M3" s="6"/>
      <c r="N3" s="9" t="s">
        <v>3</v>
      </c>
      <c r="O3" s="5"/>
      <c r="P3" s="6"/>
      <c r="Q3" s="90"/>
      <c r="R3" s="90"/>
      <c r="S3" s="3"/>
    </row>
    <row r="4">
      <c r="A4" s="12" t="s">
        <v>4</v>
      </c>
      <c r="B4" s="12" t="s">
        <v>5</v>
      </c>
      <c r="C4" s="12" t="s">
        <v>6</v>
      </c>
      <c r="D4" s="13" t="s">
        <v>7</v>
      </c>
      <c r="E4" s="14" t="s">
        <v>8</v>
      </c>
      <c r="F4" s="14" t="s">
        <v>9</v>
      </c>
      <c r="G4" s="14" t="s">
        <v>10</v>
      </c>
      <c r="H4" s="15" t="s">
        <v>8</v>
      </c>
      <c r="I4" s="15" t="s">
        <v>9</v>
      </c>
      <c r="J4" s="15" t="s">
        <v>10</v>
      </c>
      <c r="K4" s="46" t="s">
        <v>8</v>
      </c>
      <c r="L4" s="46" t="s">
        <v>9</v>
      </c>
      <c r="M4" s="46" t="s">
        <v>10</v>
      </c>
      <c r="N4" s="17" t="s">
        <v>8</v>
      </c>
      <c r="O4" s="17" t="s">
        <v>9</v>
      </c>
      <c r="P4" s="17" t="s">
        <v>10</v>
      </c>
      <c r="Q4" s="18" t="s">
        <v>11</v>
      </c>
      <c r="R4" s="19" t="s">
        <v>12</v>
      </c>
      <c r="S4" s="20" t="s">
        <v>13</v>
      </c>
    </row>
    <row r="5">
      <c r="A5" s="32">
        <v>1.0</v>
      </c>
      <c r="B5" s="23" t="s">
        <v>394</v>
      </c>
      <c r="C5" s="23" t="s">
        <v>32</v>
      </c>
      <c r="D5" s="23" t="s">
        <v>34</v>
      </c>
      <c r="E5" s="24">
        <v>669.0</v>
      </c>
      <c r="F5" s="24">
        <v>1.0</v>
      </c>
      <c r="G5" s="43">
        <v>70.0</v>
      </c>
      <c r="H5" s="26">
        <v>672.0</v>
      </c>
      <c r="I5" s="26">
        <v>2.0</v>
      </c>
      <c r="J5" s="44">
        <v>60.0</v>
      </c>
      <c r="K5" s="28">
        <v>672.0</v>
      </c>
      <c r="L5" s="28">
        <v>4.0</v>
      </c>
      <c r="M5" s="28">
        <v>40.0</v>
      </c>
      <c r="N5" s="29">
        <v>660.0</v>
      </c>
      <c r="O5" s="45">
        <v>3.0</v>
      </c>
      <c r="P5" s="45">
        <v>50.0</v>
      </c>
      <c r="Q5" s="30">
        <f t="shared" ref="Q5:Q48" si="1">(E5+H5+N5+K5)/4</f>
        <v>668.25</v>
      </c>
      <c r="R5" s="48">
        <f t="shared" ref="R5:R48" si="2">G5+J5+P5+M5</f>
        <v>220</v>
      </c>
      <c r="S5" s="2">
        <f t="shared" ref="S5:S48" si="3">Q5+R5</f>
        <v>888.25</v>
      </c>
    </row>
    <row r="6">
      <c r="A6" s="21">
        <v>2.0</v>
      </c>
      <c r="B6" s="22" t="s">
        <v>349</v>
      </c>
      <c r="C6" s="22" t="s">
        <v>32</v>
      </c>
      <c r="D6" s="22" t="s">
        <v>40</v>
      </c>
      <c r="E6" s="24">
        <v>632.0</v>
      </c>
      <c r="F6" s="24">
        <v>5.0</v>
      </c>
      <c r="G6" s="24">
        <v>30.0</v>
      </c>
      <c r="H6" s="26">
        <v>684.0</v>
      </c>
      <c r="I6" s="26">
        <v>1.0</v>
      </c>
      <c r="J6" s="44">
        <v>70.0</v>
      </c>
      <c r="K6" s="142">
        <v>669.0</v>
      </c>
      <c r="L6" s="92">
        <v>8.0</v>
      </c>
      <c r="M6" s="92">
        <v>30.0</v>
      </c>
      <c r="N6" s="29">
        <v>662.0</v>
      </c>
      <c r="O6" s="29">
        <v>1.0</v>
      </c>
      <c r="P6" s="29">
        <v>70.0</v>
      </c>
      <c r="Q6" s="30">
        <f t="shared" si="1"/>
        <v>661.75</v>
      </c>
      <c r="R6" s="48">
        <f t="shared" si="2"/>
        <v>200</v>
      </c>
      <c r="S6" s="2">
        <f t="shared" si="3"/>
        <v>861.75</v>
      </c>
    </row>
    <row r="7">
      <c r="A7" s="32">
        <v>3.0</v>
      </c>
      <c r="B7" s="23" t="s">
        <v>395</v>
      </c>
      <c r="C7" s="23" t="s">
        <v>32</v>
      </c>
      <c r="D7" s="23" t="s">
        <v>16</v>
      </c>
      <c r="E7" s="24">
        <v>668.0</v>
      </c>
      <c r="F7" s="24">
        <v>2.0</v>
      </c>
      <c r="G7" s="43">
        <v>60.0</v>
      </c>
      <c r="H7" s="26">
        <v>665.0</v>
      </c>
      <c r="I7" s="27"/>
      <c r="J7" s="15"/>
      <c r="K7" s="28">
        <v>668.0</v>
      </c>
      <c r="L7" s="28">
        <v>2.0</v>
      </c>
      <c r="M7" s="28">
        <v>60.0</v>
      </c>
      <c r="N7" s="29">
        <v>653.0</v>
      </c>
      <c r="O7" s="45">
        <v>6.0</v>
      </c>
      <c r="P7" s="45">
        <v>20.0</v>
      </c>
      <c r="Q7" s="30">
        <f t="shared" si="1"/>
        <v>663.5</v>
      </c>
      <c r="R7" s="48">
        <f t="shared" si="2"/>
        <v>140</v>
      </c>
      <c r="S7" s="2">
        <f t="shared" si="3"/>
        <v>803.5</v>
      </c>
    </row>
    <row r="8">
      <c r="A8" s="21">
        <v>4.0</v>
      </c>
      <c r="B8" s="22" t="s">
        <v>396</v>
      </c>
      <c r="C8" s="22" t="s">
        <v>18</v>
      </c>
      <c r="D8" s="23" t="s">
        <v>40</v>
      </c>
      <c r="E8" s="24">
        <v>630.0</v>
      </c>
      <c r="F8" s="24">
        <v>3.0</v>
      </c>
      <c r="G8" s="24">
        <v>50.0</v>
      </c>
      <c r="H8" s="26">
        <v>622.0</v>
      </c>
      <c r="I8" s="27"/>
      <c r="J8" s="15"/>
      <c r="K8" s="28">
        <v>662.0</v>
      </c>
      <c r="L8" s="28">
        <v>6.0</v>
      </c>
      <c r="M8" s="28">
        <v>20.0</v>
      </c>
      <c r="N8" s="29">
        <v>663.0</v>
      </c>
      <c r="O8" s="29">
        <v>2.0</v>
      </c>
      <c r="P8" s="29">
        <v>60.0</v>
      </c>
      <c r="Q8" s="30">
        <f t="shared" si="1"/>
        <v>644.25</v>
      </c>
      <c r="R8" s="48">
        <f t="shared" si="2"/>
        <v>130</v>
      </c>
      <c r="S8" s="2">
        <f t="shared" si="3"/>
        <v>774.25</v>
      </c>
    </row>
    <row r="9">
      <c r="A9" s="32">
        <v>5.0</v>
      </c>
      <c r="B9" s="23" t="s">
        <v>397</v>
      </c>
      <c r="C9" s="23" t="s">
        <v>32</v>
      </c>
      <c r="D9" s="23" t="s">
        <v>34</v>
      </c>
      <c r="E9" s="24">
        <v>646.0</v>
      </c>
      <c r="F9" s="25"/>
      <c r="G9" s="14"/>
      <c r="H9" s="44">
        <v>643.0</v>
      </c>
      <c r="I9" s="26">
        <v>5.0</v>
      </c>
      <c r="J9" s="26">
        <v>30.0</v>
      </c>
      <c r="K9" s="28">
        <v>658.0</v>
      </c>
      <c r="L9" s="28">
        <v>7.0</v>
      </c>
      <c r="M9" s="28">
        <v>10.0</v>
      </c>
      <c r="N9" s="29">
        <v>658.0</v>
      </c>
      <c r="O9" s="45">
        <v>4.0</v>
      </c>
      <c r="P9" s="45">
        <v>40.0</v>
      </c>
      <c r="Q9" s="30">
        <f t="shared" si="1"/>
        <v>651.25</v>
      </c>
      <c r="R9" s="48">
        <f t="shared" si="2"/>
        <v>80</v>
      </c>
      <c r="S9" s="2">
        <f t="shared" si="3"/>
        <v>731.25</v>
      </c>
    </row>
    <row r="10">
      <c r="A10" s="21">
        <v>6.0</v>
      </c>
      <c r="B10" s="22" t="s">
        <v>398</v>
      </c>
      <c r="C10" s="22" t="s">
        <v>39</v>
      </c>
      <c r="D10" s="22" t="s">
        <v>40</v>
      </c>
      <c r="E10" s="24">
        <v>628.0</v>
      </c>
      <c r="F10" s="24">
        <v>7.0</v>
      </c>
      <c r="G10" s="24">
        <v>10.0</v>
      </c>
      <c r="H10" s="26">
        <v>646.0</v>
      </c>
      <c r="I10" s="26">
        <v>3.0</v>
      </c>
      <c r="J10" s="44">
        <v>50.0</v>
      </c>
      <c r="K10" s="28">
        <v>567.0</v>
      </c>
      <c r="L10" s="28">
        <v>5.0</v>
      </c>
      <c r="M10" s="28">
        <v>30.0</v>
      </c>
      <c r="N10" s="29">
        <v>645.0</v>
      </c>
      <c r="O10" s="47"/>
      <c r="P10" s="47"/>
      <c r="Q10" s="30">
        <f t="shared" si="1"/>
        <v>621.5</v>
      </c>
      <c r="R10" s="48">
        <f t="shared" si="2"/>
        <v>90</v>
      </c>
      <c r="S10" s="2">
        <f t="shared" si="3"/>
        <v>711.5</v>
      </c>
    </row>
    <row r="11">
      <c r="A11" s="32">
        <v>7.0</v>
      </c>
      <c r="B11" s="22" t="s">
        <v>399</v>
      </c>
      <c r="C11" s="22" t="s">
        <v>67</v>
      </c>
      <c r="D11" s="23" t="s">
        <v>21</v>
      </c>
      <c r="E11" s="24">
        <v>630.0</v>
      </c>
      <c r="F11" s="24">
        <v>4.0</v>
      </c>
      <c r="G11" s="24">
        <v>40.0</v>
      </c>
      <c r="H11" s="26">
        <v>653.0</v>
      </c>
      <c r="I11" s="27"/>
      <c r="J11" s="15"/>
      <c r="K11" s="28">
        <v>658.0</v>
      </c>
      <c r="L11" s="28"/>
      <c r="M11" s="28"/>
      <c r="N11" s="29">
        <v>659.0</v>
      </c>
      <c r="O11" s="47"/>
      <c r="P11" s="47"/>
      <c r="Q11" s="30">
        <f t="shared" si="1"/>
        <v>650</v>
      </c>
      <c r="R11" s="48">
        <f t="shared" si="2"/>
        <v>40</v>
      </c>
      <c r="S11" s="2">
        <f t="shared" si="3"/>
        <v>690</v>
      </c>
    </row>
    <row r="12">
      <c r="A12" s="21">
        <v>8.0</v>
      </c>
      <c r="B12" s="22" t="s">
        <v>400</v>
      </c>
      <c r="C12" s="22" t="s">
        <v>67</v>
      </c>
      <c r="D12" s="22"/>
      <c r="E12" s="24">
        <v>613.0</v>
      </c>
      <c r="F12" s="25"/>
      <c r="G12" s="25"/>
      <c r="H12" s="26">
        <v>646.0</v>
      </c>
      <c r="I12" s="27"/>
      <c r="J12" s="27"/>
      <c r="K12" s="28">
        <v>645.0</v>
      </c>
      <c r="L12" s="28"/>
      <c r="M12" s="28"/>
      <c r="N12" s="29">
        <v>634.0</v>
      </c>
      <c r="O12" s="29">
        <v>5.0</v>
      </c>
      <c r="P12" s="29">
        <v>30.0</v>
      </c>
      <c r="Q12" s="30">
        <f t="shared" si="1"/>
        <v>634.5</v>
      </c>
      <c r="R12" s="48">
        <f t="shared" si="2"/>
        <v>30</v>
      </c>
      <c r="S12" s="2">
        <f t="shared" si="3"/>
        <v>664.5</v>
      </c>
    </row>
    <row r="13">
      <c r="A13" s="32">
        <v>9.0</v>
      </c>
      <c r="B13" s="22" t="s">
        <v>401</v>
      </c>
      <c r="C13" s="22" t="s">
        <v>36</v>
      </c>
      <c r="D13" s="22" t="s">
        <v>21</v>
      </c>
      <c r="E13" s="24">
        <v>616.0</v>
      </c>
      <c r="F13" s="25"/>
      <c r="G13" s="25"/>
      <c r="H13" s="26">
        <v>662.0</v>
      </c>
      <c r="I13" s="26">
        <v>6.0</v>
      </c>
      <c r="J13" s="26">
        <v>20.0</v>
      </c>
      <c r="K13" s="28">
        <v>617.0</v>
      </c>
      <c r="L13" s="28"/>
      <c r="M13" s="28"/>
      <c r="N13" s="29">
        <v>624.0</v>
      </c>
      <c r="O13" s="47"/>
      <c r="P13" s="47"/>
      <c r="Q13" s="30">
        <f t="shared" si="1"/>
        <v>629.75</v>
      </c>
      <c r="R13" s="48">
        <f t="shared" si="2"/>
        <v>20</v>
      </c>
      <c r="S13" s="2">
        <f t="shared" si="3"/>
        <v>649.75</v>
      </c>
    </row>
    <row r="14">
      <c r="A14" s="21">
        <v>10.0</v>
      </c>
      <c r="B14" s="22" t="s">
        <v>402</v>
      </c>
      <c r="C14" s="22" t="s">
        <v>15</v>
      </c>
      <c r="D14" s="22" t="s">
        <v>34</v>
      </c>
      <c r="E14" s="24">
        <v>613.0</v>
      </c>
      <c r="F14" s="25"/>
      <c r="G14" s="25"/>
      <c r="H14" s="26">
        <v>652.0</v>
      </c>
      <c r="I14" s="26">
        <v>8.0</v>
      </c>
      <c r="J14" s="26">
        <v>5.0</v>
      </c>
      <c r="K14" s="28">
        <v>644.0</v>
      </c>
      <c r="L14" s="28"/>
      <c r="M14" s="28"/>
      <c r="N14" s="29">
        <v>654.0</v>
      </c>
      <c r="O14" s="47"/>
      <c r="P14" s="47"/>
      <c r="Q14" s="30">
        <f t="shared" si="1"/>
        <v>640.75</v>
      </c>
      <c r="R14" s="48">
        <f t="shared" si="2"/>
        <v>5</v>
      </c>
      <c r="S14" s="2">
        <f t="shared" si="3"/>
        <v>645.75</v>
      </c>
    </row>
    <row r="15">
      <c r="A15" s="32">
        <v>11.0</v>
      </c>
      <c r="B15" s="23" t="s">
        <v>403</v>
      </c>
      <c r="C15" s="23" t="s">
        <v>39</v>
      </c>
      <c r="D15" s="23"/>
      <c r="E15" s="24">
        <v>642.0</v>
      </c>
      <c r="F15" s="25"/>
      <c r="G15" s="14"/>
      <c r="H15" s="26">
        <v>650.0</v>
      </c>
      <c r="I15" s="26">
        <v>7.0</v>
      </c>
      <c r="J15" s="26">
        <v>10.0</v>
      </c>
      <c r="K15" s="28">
        <v>642.0</v>
      </c>
      <c r="L15" s="28"/>
      <c r="M15" s="28"/>
      <c r="N15" s="29">
        <v>595.0</v>
      </c>
      <c r="O15" s="17"/>
      <c r="P15" s="17"/>
      <c r="Q15" s="30">
        <f t="shared" si="1"/>
        <v>632.25</v>
      </c>
      <c r="R15" s="48">
        <f t="shared" si="2"/>
        <v>10</v>
      </c>
      <c r="S15" s="2">
        <f t="shared" si="3"/>
        <v>642.25</v>
      </c>
    </row>
    <row r="16">
      <c r="A16" s="21">
        <v>12.0</v>
      </c>
      <c r="B16" s="22" t="s">
        <v>352</v>
      </c>
      <c r="C16" s="22" t="s">
        <v>15</v>
      </c>
      <c r="D16" s="22" t="s">
        <v>34</v>
      </c>
      <c r="E16" s="24">
        <v>639.0</v>
      </c>
      <c r="F16" s="24">
        <v>8.0</v>
      </c>
      <c r="G16" s="24">
        <v>5.0</v>
      </c>
      <c r="H16" s="26">
        <v>610.0</v>
      </c>
      <c r="I16" s="27"/>
      <c r="J16" s="27"/>
      <c r="K16" s="142">
        <v>637.0</v>
      </c>
      <c r="L16" s="28"/>
      <c r="M16" s="28"/>
      <c r="N16" s="29">
        <v>640.0</v>
      </c>
      <c r="O16" s="45">
        <v>8.0</v>
      </c>
      <c r="P16" s="45">
        <v>5.0</v>
      </c>
      <c r="Q16" s="30">
        <f t="shared" si="1"/>
        <v>631.5</v>
      </c>
      <c r="R16" s="48">
        <f t="shared" si="2"/>
        <v>10</v>
      </c>
      <c r="S16" s="2">
        <f t="shared" si="3"/>
        <v>641.5</v>
      </c>
    </row>
    <row r="17">
      <c r="A17" s="32">
        <v>13.0</v>
      </c>
      <c r="B17" s="22" t="s">
        <v>404</v>
      </c>
      <c r="C17" s="22" t="s">
        <v>15</v>
      </c>
      <c r="D17" s="23" t="s">
        <v>21</v>
      </c>
      <c r="E17" s="24">
        <v>622.0</v>
      </c>
      <c r="F17" s="25"/>
      <c r="G17" s="25"/>
      <c r="H17" s="26">
        <v>634.0</v>
      </c>
      <c r="I17" s="27"/>
      <c r="J17" s="27"/>
      <c r="K17" s="28">
        <v>644.0</v>
      </c>
      <c r="L17" s="28"/>
      <c r="M17" s="28"/>
      <c r="N17" s="29">
        <v>638.0</v>
      </c>
      <c r="O17" s="47"/>
      <c r="P17" s="47"/>
      <c r="Q17" s="30">
        <f t="shared" si="1"/>
        <v>634.5</v>
      </c>
      <c r="R17" s="48">
        <f t="shared" si="2"/>
        <v>0</v>
      </c>
      <c r="S17" s="2">
        <f t="shared" si="3"/>
        <v>634.5</v>
      </c>
    </row>
    <row r="18">
      <c r="A18" s="21">
        <v>14.0</v>
      </c>
      <c r="B18" s="22" t="s">
        <v>405</v>
      </c>
      <c r="C18" s="22" t="s">
        <v>18</v>
      </c>
      <c r="D18" s="23" t="s">
        <v>40</v>
      </c>
      <c r="E18" s="24">
        <v>610.0</v>
      </c>
      <c r="F18" s="25"/>
      <c r="G18" s="25"/>
      <c r="H18" s="26">
        <v>610.0</v>
      </c>
      <c r="I18" s="27"/>
      <c r="J18" s="27"/>
      <c r="K18" s="28">
        <v>651.0</v>
      </c>
      <c r="L18" s="28"/>
      <c r="M18" s="28"/>
      <c r="N18" s="29">
        <v>648.0</v>
      </c>
      <c r="O18" s="47"/>
      <c r="P18" s="47"/>
      <c r="Q18" s="30">
        <f t="shared" si="1"/>
        <v>629.75</v>
      </c>
      <c r="R18" s="48">
        <f t="shared" si="2"/>
        <v>0</v>
      </c>
      <c r="S18" s="2">
        <f t="shared" si="3"/>
        <v>629.75</v>
      </c>
    </row>
    <row r="19">
      <c r="A19" s="32">
        <v>15.0</v>
      </c>
      <c r="B19" s="22" t="s">
        <v>406</v>
      </c>
      <c r="C19" s="22" t="s">
        <v>18</v>
      </c>
      <c r="D19" s="22"/>
      <c r="E19" s="24">
        <v>574.0</v>
      </c>
      <c r="F19" s="25"/>
      <c r="G19" s="25"/>
      <c r="H19" s="26">
        <v>610.0</v>
      </c>
      <c r="I19" s="27"/>
      <c r="J19" s="27"/>
      <c r="K19" s="28">
        <v>628.0</v>
      </c>
      <c r="L19" s="28"/>
      <c r="M19" s="28"/>
      <c r="N19" s="29">
        <v>647.0</v>
      </c>
      <c r="O19" s="29">
        <v>7.0</v>
      </c>
      <c r="P19" s="29">
        <v>10.0</v>
      </c>
      <c r="Q19" s="30">
        <f t="shared" si="1"/>
        <v>614.75</v>
      </c>
      <c r="R19" s="48">
        <f t="shared" si="2"/>
        <v>10</v>
      </c>
      <c r="S19" s="2">
        <f t="shared" si="3"/>
        <v>624.75</v>
      </c>
    </row>
    <row r="20">
      <c r="A20" s="21">
        <v>16.0</v>
      </c>
      <c r="B20" s="23" t="s">
        <v>407</v>
      </c>
      <c r="C20" s="23" t="s">
        <v>51</v>
      </c>
      <c r="D20" s="23" t="s">
        <v>16</v>
      </c>
      <c r="E20" s="24">
        <v>640.0</v>
      </c>
      <c r="F20" s="25"/>
      <c r="G20" s="14"/>
      <c r="H20" s="44">
        <v>655.0</v>
      </c>
      <c r="I20" s="27"/>
      <c r="J20" s="27"/>
      <c r="K20" s="28">
        <v>667.0</v>
      </c>
      <c r="L20" s="28">
        <v>3.0</v>
      </c>
      <c r="M20" s="28">
        <v>50.0</v>
      </c>
      <c r="N20" s="29"/>
      <c r="O20" s="29"/>
      <c r="P20" s="29"/>
      <c r="Q20" s="30">
        <f t="shared" si="1"/>
        <v>490.5</v>
      </c>
      <c r="R20" s="48">
        <f t="shared" si="2"/>
        <v>50</v>
      </c>
      <c r="S20" s="2">
        <f t="shared" si="3"/>
        <v>540.5</v>
      </c>
    </row>
    <row r="21">
      <c r="A21" s="32">
        <v>17.0</v>
      </c>
      <c r="B21" s="23" t="s">
        <v>408</v>
      </c>
      <c r="C21" s="23" t="s">
        <v>15</v>
      </c>
      <c r="D21" s="23" t="s">
        <v>21</v>
      </c>
      <c r="E21" s="24">
        <v>646.0</v>
      </c>
      <c r="F21" s="25"/>
      <c r="G21" s="14"/>
      <c r="H21" s="44">
        <v>659.0</v>
      </c>
      <c r="I21" s="26">
        <v>4.0</v>
      </c>
      <c r="J21" s="26">
        <v>40.0</v>
      </c>
      <c r="K21" s="28">
        <v>656.0</v>
      </c>
      <c r="L21" s="28"/>
      <c r="M21" s="28"/>
      <c r="N21" s="29"/>
      <c r="O21" s="17"/>
      <c r="P21" s="17"/>
      <c r="Q21" s="30">
        <f t="shared" si="1"/>
        <v>490.25</v>
      </c>
      <c r="R21" s="48">
        <f t="shared" si="2"/>
        <v>40</v>
      </c>
      <c r="S21" s="2">
        <f t="shared" si="3"/>
        <v>530.25</v>
      </c>
    </row>
    <row r="22">
      <c r="A22" s="21">
        <v>18.0</v>
      </c>
      <c r="B22" s="23" t="s">
        <v>409</v>
      </c>
      <c r="C22" s="23" t="s">
        <v>51</v>
      </c>
      <c r="D22" s="23" t="s">
        <v>40</v>
      </c>
      <c r="E22" s="24">
        <v>658.0</v>
      </c>
      <c r="F22" s="25"/>
      <c r="G22" s="14"/>
      <c r="H22" s="44">
        <v>660.0</v>
      </c>
      <c r="I22" s="27"/>
      <c r="J22" s="27"/>
      <c r="K22" s="25">
        <v>636.0</v>
      </c>
      <c r="L22" s="48"/>
      <c r="M22" s="48"/>
      <c r="N22" s="47"/>
      <c r="O22" s="17"/>
      <c r="P22" s="17"/>
      <c r="Q22" s="30">
        <f t="shared" si="1"/>
        <v>488.5</v>
      </c>
      <c r="R22" s="48">
        <f t="shared" si="2"/>
        <v>0</v>
      </c>
      <c r="S22" s="2">
        <f t="shared" si="3"/>
        <v>488.5</v>
      </c>
    </row>
    <row r="23">
      <c r="A23" s="32">
        <v>19.0</v>
      </c>
      <c r="B23" s="22" t="s">
        <v>410</v>
      </c>
      <c r="C23" s="22" t="s">
        <v>168</v>
      </c>
      <c r="D23" s="22"/>
      <c r="E23" s="24">
        <v>554.0</v>
      </c>
      <c r="F23" s="25"/>
      <c r="G23" s="25"/>
      <c r="H23" s="27"/>
      <c r="I23" s="27"/>
      <c r="J23" s="27"/>
      <c r="K23" s="28">
        <v>600.0</v>
      </c>
      <c r="L23" s="28"/>
      <c r="M23" s="28"/>
      <c r="N23" s="29">
        <v>608.0</v>
      </c>
      <c r="O23" s="47"/>
      <c r="P23" s="47"/>
      <c r="Q23" s="30">
        <f t="shared" si="1"/>
        <v>440.5</v>
      </c>
      <c r="R23" s="48">
        <f t="shared" si="2"/>
        <v>0</v>
      </c>
      <c r="S23" s="2">
        <f t="shared" si="3"/>
        <v>440.5</v>
      </c>
    </row>
    <row r="24">
      <c r="A24" s="21">
        <v>20.0</v>
      </c>
      <c r="B24" s="22" t="s">
        <v>357</v>
      </c>
      <c r="C24" s="22" t="s">
        <v>168</v>
      </c>
      <c r="D24" s="22"/>
      <c r="E24" s="24">
        <v>567.0</v>
      </c>
      <c r="F24" s="25"/>
      <c r="G24" s="25"/>
      <c r="H24" s="27"/>
      <c r="I24" s="27"/>
      <c r="J24" s="27"/>
      <c r="K24" s="113">
        <v>587.0</v>
      </c>
      <c r="L24" s="28"/>
      <c r="M24" s="28"/>
      <c r="N24" s="29">
        <v>604.0</v>
      </c>
      <c r="O24" s="47"/>
      <c r="P24" s="47"/>
      <c r="Q24" s="30">
        <f t="shared" si="1"/>
        <v>439.5</v>
      </c>
      <c r="R24" s="48">
        <f t="shared" si="2"/>
        <v>0</v>
      </c>
      <c r="S24" s="2">
        <f t="shared" si="3"/>
        <v>439.5</v>
      </c>
    </row>
    <row r="25">
      <c r="A25" s="32">
        <v>21.0</v>
      </c>
      <c r="B25" s="22" t="s">
        <v>411</v>
      </c>
      <c r="C25" s="22" t="s">
        <v>39</v>
      </c>
      <c r="D25" s="22"/>
      <c r="E25" s="24">
        <v>627.0</v>
      </c>
      <c r="F25" s="24">
        <v>6.0</v>
      </c>
      <c r="G25" s="24">
        <v>20.0</v>
      </c>
      <c r="H25" s="26">
        <v>635.0</v>
      </c>
      <c r="I25" s="27"/>
      <c r="J25" s="27"/>
      <c r="K25" s="48"/>
      <c r="L25" s="48"/>
      <c r="M25" s="48"/>
      <c r="N25" s="47"/>
      <c r="O25" s="47"/>
      <c r="P25" s="47"/>
      <c r="Q25" s="30">
        <f t="shared" si="1"/>
        <v>315.5</v>
      </c>
      <c r="R25" s="48">
        <f t="shared" si="2"/>
        <v>20</v>
      </c>
      <c r="S25" s="2">
        <f t="shared" si="3"/>
        <v>335.5</v>
      </c>
    </row>
    <row r="26">
      <c r="A26" s="21">
        <v>22.0</v>
      </c>
      <c r="B26" s="23" t="s">
        <v>350</v>
      </c>
      <c r="C26" s="23" t="s">
        <v>44</v>
      </c>
      <c r="D26" s="23" t="s">
        <v>40</v>
      </c>
      <c r="E26" s="24">
        <v>648.0</v>
      </c>
      <c r="F26" s="25"/>
      <c r="G26" s="14"/>
      <c r="H26" s="26">
        <v>640.0</v>
      </c>
      <c r="I26" s="27"/>
      <c r="J26" s="15"/>
      <c r="K26" s="48"/>
      <c r="L26" s="48"/>
      <c r="M26" s="48"/>
      <c r="N26" s="47"/>
      <c r="O26" s="17"/>
      <c r="P26" s="17"/>
      <c r="Q26" s="30">
        <f t="shared" si="1"/>
        <v>322</v>
      </c>
      <c r="R26" s="48">
        <f t="shared" si="2"/>
        <v>0</v>
      </c>
      <c r="S26" s="2">
        <f t="shared" si="3"/>
        <v>322</v>
      </c>
    </row>
    <row r="27">
      <c r="A27" s="32">
        <v>23.0</v>
      </c>
      <c r="B27" s="22" t="s">
        <v>412</v>
      </c>
      <c r="C27" s="22" t="s">
        <v>67</v>
      </c>
      <c r="D27" s="22" t="s">
        <v>40</v>
      </c>
      <c r="E27" s="24">
        <v>624.0</v>
      </c>
      <c r="F27" s="25"/>
      <c r="G27" s="25"/>
      <c r="H27" s="27"/>
      <c r="I27" s="27"/>
      <c r="J27" s="15"/>
      <c r="K27" s="28">
        <v>644.0</v>
      </c>
      <c r="L27" s="28"/>
      <c r="M27" s="28"/>
      <c r="N27" s="29"/>
      <c r="O27" s="47"/>
      <c r="P27" s="47"/>
      <c r="Q27" s="30">
        <f t="shared" si="1"/>
        <v>317</v>
      </c>
      <c r="R27" s="48">
        <f t="shared" si="2"/>
        <v>0</v>
      </c>
      <c r="S27" s="2">
        <f t="shared" si="3"/>
        <v>317</v>
      </c>
    </row>
    <row r="28">
      <c r="A28" s="21">
        <v>24.0</v>
      </c>
      <c r="B28" s="22" t="s">
        <v>344</v>
      </c>
      <c r="C28" s="22" t="s">
        <v>36</v>
      </c>
      <c r="D28" s="22"/>
      <c r="E28" s="24">
        <v>614.0</v>
      </c>
      <c r="F28" s="25"/>
      <c r="G28" s="25"/>
      <c r="H28" s="26">
        <v>647.0</v>
      </c>
      <c r="I28" s="27"/>
      <c r="J28" s="27"/>
      <c r="K28" s="48"/>
      <c r="L28" s="48"/>
      <c r="M28" s="48"/>
      <c r="N28" s="47"/>
      <c r="O28" s="47"/>
      <c r="P28" s="47"/>
      <c r="Q28" s="30">
        <f t="shared" si="1"/>
        <v>315.25</v>
      </c>
      <c r="R28" s="48">
        <f t="shared" si="2"/>
        <v>0</v>
      </c>
      <c r="S28" s="2">
        <f t="shared" si="3"/>
        <v>315.25</v>
      </c>
    </row>
    <row r="29">
      <c r="A29" s="32">
        <v>25.0</v>
      </c>
      <c r="B29" s="22" t="s">
        <v>413</v>
      </c>
      <c r="C29" s="22" t="s">
        <v>67</v>
      </c>
      <c r="D29" s="22"/>
      <c r="E29" s="24">
        <v>603.0</v>
      </c>
      <c r="F29" s="25"/>
      <c r="G29" s="25"/>
      <c r="H29" s="27"/>
      <c r="I29" s="27"/>
      <c r="J29" s="27"/>
      <c r="K29" s="28">
        <v>629.0</v>
      </c>
      <c r="L29" s="28"/>
      <c r="M29" s="28"/>
      <c r="N29" s="29"/>
      <c r="O29" s="47"/>
      <c r="P29" s="47"/>
      <c r="Q29" s="30">
        <f t="shared" si="1"/>
        <v>308</v>
      </c>
      <c r="R29" s="48">
        <f t="shared" si="2"/>
        <v>0</v>
      </c>
      <c r="S29" s="2">
        <f t="shared" si="3"/>
        <v>308</v>
      </c>
    </row>
    <row r="30">
      <c r="A30" s="21">
        <v>26.0</v>
      </c>
      <c r="B30" s="22" t="s">
        <v>414</v>
      </c>
      <c r="C30" s="22" t="s">
        <v>168</v>
      </c>
      <c r="D30" s="22"/>
      <c r="E30" s="24">
        <v>583.0</v>
      </c>
      <c r="F30" s="25"/>
      <c r="G30" s="25"/>
      <c r="H30" s="27"/>
      <c r="I30" s="27"/>
      <c r="J30" s="27"/>
      <c r="K30" s="28">
        <v>593.0</v>
      </c>
      <c r="L30" s="28">
        <v>8.0</v>
      </c>
      <c r="M30" s="28">
        <v>5.0</v>
      </c>
      <c r="N30" s="29"/>
      <c r="O30" s="47"/>
      <c r="P30" s="47"/>
      <c r="Q30" s="30">
        <f t="shared" si="1"/>
        <v>294</v>
      </c>
      <c r="R30" s="48">
        <f t="shared" si="2"/>
        <v>5</v>
      </c>
      <c r="S30" s="2">
        <f t="shared" si="3"/>
        <v>299</v>
      </c>
    </row>
    <row r="31">
      <c r="A31" s="32">
        <v>27.0</v>
      </c>
      <c r="B31" s="22" t="s">
        <v>415</v>
      </c>
      <c r="C31" s="22" t="s">
        <v>168</v>
      </c>
      <c r="D31" s="22"/>
      <c r="E31" s="24">
        <v>611.0</v>
      </c>
      <c r="F31" s="25"/>
      <c r="G31" s="25"/>
      <c r="H31" s="27"/>
      <c r="I31" s="27"/>
      <c r="J31" s="27"/>
      <c r="K31" s="28">
        <v>551.0</v>
      </c>
      <c r="L31" s="28"/>
      <c r="M31" s="28"/>
      <c r="N31" s="29"/>
      <c r="O31" s="47"/>
      <c r="P31" s="47"/>
      <c r="Q31" s="30">
        <f t="shared" si="1"/>
        <v>290.5</v>
      </c>
      <c r="R31" s="48">
        <f t="shared" si="2"/>
        <v>0</v>
      </c>
      <c r="S31" s="2">
        <f t="shared" si="3"/>
        <v>290.5</v>
      </c>
    </row>
    <row r="32">
      <c r="A32" s="21">
        <v>28.0</v>
      </c>
      <c r="B32" s="22" t="s">
        <v>416</v>
      </c>
      <c r="C32" s="22" t="s">
        <v>18</v>
      </c>
      <c r="D32" s="22"/>
      <c r="E32" s="24">
        <v>546.0</v>
      </c>
      <c r="F32" s="25"/>
      <c r="G32" s="25"/>
      <c r="H32" s="26">
        <v>611.0</v>
      </c>
      <c r="I32" s="27"/>
      <c r="J32" s="27"/>
      <c r="K32" s="48"/>
      <c r="L32" s="48"/>
      <c r="M32" s="48"/>
      <c r="N32" s="47"/>
      <c r="O32" s="47"/>
      <c r="P32" s="47"/>
      <c r="Q32" s="30">
        <f t="shared" si="1"/>
        <v>289.25</v>
      </c>
      <c r="R32" s="48">
        <f t="shared" si="2"/>
        <v>0</v>
      </c>
      <c r="S32" s="2">
        <f t="shared" si="3"/>
        <v>289.25</v>
      </c>
    </row>
    <row r="33">
      <c r="A33" s="32">
        <v>29.0</v>
      </c>
      <c r="B33" s="22" t="s">
        <v>417</v>
      </c>
      <c r="C33" s="22" t="s">
        <v>39</v>
      </c>
      <c r="D33" s="22"/>
      <c r="E33" s="24">
        <v>562.0</v>
      </c>
      <c r="F33" s="25"/>
      <c r="G33" s="25"/>
      <c r="H33" s="27"/>
      <c r="I33" s="27"/>
      <c r="J33" s="27"/>
      <c r="K33" s="28">
        <v>583.0</v>
      </c>
      <c r="L33" s="28"/>
      <c r="M33" s="28"/>
      <c r="N33" s="29"/>
      <c r="O33" s="47"/>
      <c r="P33" s="47"/>
      <c r="Q33" s="30">
        <f t="shared" si="1"/>
        <v>286.25</v>
      </c>
      <c r="R33" s="48">
        <f t="shared" si="2"/>
        <v>0</v>
      </c>
      <c r="S33" s="2">
        <f t="shared" si="3"/>
        <v>286.25</v>
      </c>
    </row>
    <row r="34">
      <c r="A34" s="21">
        <v>30.0</v>
      </c>
      <c r="B34" s="22" t="s">
        <v>418</v>
      </c>
      <c r="C34" s="22" t="s">
        <v>36</v>
      </c>
      <c r="D34" s="22"/>
      <c r="E34" s="24">
        <v>535.0</v>
      </c>
      <c r="F34" s="25"/>
      <c r="G34" s="25"/>
      <c r="H34" s="27"/>
      <c r="I34" s="27"/>
      <c r="J34" s="27"/>
      <c r="K34" s="28">
        <v>565.0</v>
      </c>
      <c r="L34" s="28"/>
      <c r="M34" s="28"/>
      <c r="N34" s="29"/>
      <c r="O34" s="47"/>
      <c r="P34" s="47"/>
      <c r="Q34" s="30">
        <f t="shared" si="1"/>
        <v>275</v>
      </c>
      <c r="R34" s="48">
        <f t="shared" si="2"/>
        <v>0</v>
      </c>
      <c r="S34" s="2">
        <f t="shared" si="3"/>
        <v>275</v>
      </c>
    </row>
    <row r="35">
      <c r="A35" s="32">
        <v>31.0</v>
      </c>
      <c r="B35" s="22" t="s">
        <v>419</v>
      </c>
      <c r="C35" s="22" t="s">
        <v>36</v>
      </c>
      <c r="D35" s="22"/>
      <c r="E35" s="24">
        <v>465.0</v>
      </c>
      <c r="F35" s="25"/>
      <c r="G35" s="25"/>
      <c r="H35" s="27"/>
      <c r="I35" s="27"/>
      <c r="J35" s="27"/>
      <c r="K35" s="28">
        <v>630.0</v>
      </c>
      <c r="L35" s="28"/>
      <c r="M35" s="28"/>
      <c r="N35" s="29"/>
      <c r="O35" s="47"/>
      <c r="P35" s="47"/>
      <c r="Q35" s="30">
        <f t="shared" si="1"/>
        <v>273.75</v>
      </c>
      <c r="R35" s="48">
        <f t="shared" si="2"/>
        <v>0</v>
      </c>
      <c r="S35" s="2">
        <f t="shared" si="3"/>
        <v>273.75</v>
      </c>
    </row>
    <row r="36">
      <c r="A36" s="21">
        <v>32.0</v>
      </c>
      <c r="B36" s="22" t="s">
        <v>420</v>
      </c>
      <c r="C36" s="22" t="s">
        <v>67</v>
      </c>
      <c r="D36" s="22"/>
      <c r="E36" s="25"/>
      <c r="F36" s="25"/>
      <c r="G36" s="25"/>
      <c r="H36" s="26">
        <v>641.0</v>
      </c>
      <c r="I36" s="27"/>
      <c r="J36" s="27"/>
      <c r="K36" s="48"/>
      <c r="L36" s="48"/>
      <c r="M36" s="48"/>
      <c r="N36" s="47"/>
      <c r="O36" s="47"/>
      <c r="P36" s="47"/>
      <c r="Q36" s="30">
        <f t="shared" si="1"/>
        <v>160.25</v>
      </c>
      <c r="R36" s="48">
        <f t="shared" si="2"/>
        <v>0</v>
      </c>
      <c r="S36" s="2">
        <f t="shared" si="3"/>
        <v>160.25</v>
      </c>
    </row>
    <row r="37">
      <c r="A37" s="32">
        <v>33.0</v>
      </c>
      <c r="B37" s="55" t="s">
        <v>339</v>
      </c>
      <c r="C37" s="55" t="s">
        <v>100</v>
      </c>
      <c r="D37" s="23" t="s">
        <v>40</v>
      </c>
      <c r="E37" s="49"/>
      <c r="F37" s="49"/>
      <c r="G37" s="49"/>
      <c r="H37" s="50"/>
      <c r="I37" s="50"/>
      <c r="J37" s="50"/>
      <c r="K37" s="56">
        <v>639.0</v>
      </c>
      <c r="L37" s="52"/>
      <c r="M37" s="52"/>
      <c r="N37" s="54"/>
      <c r="O37" s="54"/>
      <c r="P37" s="54"/>
      <c r="Q37" s="30">
        <f t="shared" si="1"/>
        <v>159.75</v>
      </c>
      <c r="R37" s="48">
        <f t="shared" si="2"/>
        <v>0</v>
      </c>
      <c r="S37" s="2">
        <f t="shared" si="3"/>
        <v>159.75</v>
      </c>
    </row>
    <row r="38">
      <c r="A38" s="21">
        <v>34.0</v>
      </c>
      <c r="B38" s="55" t="s">
        <v>355</v>
      </c>
      <c r="C38" s="139" t="s">
        <v>168</v>
      </c>
      <c r="D38" s="139"/>
      <c r="E38" s="49"/>
      <c r="F38" s="49"/>
      <c r="G38" s="49"/>
      <c r="H38" s="50"/>
      <c r="I38" s="50"/>
      <c r="J38" s="50"/>
      <c r="K38" s="56">
        <v>636.0</v>
      </c>
      <c r="L38" s="52"/>
      <c r="M38" s="52"/>
      <c r="N38" s="54"/>
      <c r="O38" s="54"/>
      <c r="P38" s="54"/>
      <c r="Q38" s="30">
        <f t="shared" si="1"/>
        <v>159</v>
      </c>
      <c r="R38" s="48">
        <f t="shared" si="2"/>
        <v>0</v>
      </c>
      <c r="S38" s="2">
        <f t="shared" si="3"/>
        <v>159</v>
      </c>
    </row>
    <row r="39">
      <c r="A39" s="32">
        <v>35.0</v>
      </c>
      <c r="B39" s="31" t="s">
        <v>421</v>
      </c>
      <c r="C39" s="31" t="s">
        <v>226</v>
      </c>
      <c r="D39" s="31"/>
      <c r="E39" s="49"/>
      <c r="F39" s="49"/>
      <c r="G39" s="49"/>
      <c r="H39" s="50"/>
      <c r="I39" s="50"/>
      <c r="J39" s="50"/>
      <c r="K39" s="51"/>
      <c r="L39" s="51"/>
      <c r="M39" s="51"/>
      <c r="N39" s="53">
        <v>616.0</v>
      </c>
      <c r="O39" s="54"/>
      <c r="P39" s="54"/>
      <c r="Q39" s="30">
        <f t="shared" si="1"/>
        <v>154</v>
      </c>
      <c r="R39" s="48">
        <f t="shared" si="2"/>
        <v>0</v>
      </c>
      <c r="S39" s="2">
        <f t="shared" si="3"/>
        <v>154</v>
      </c>
    </row>
    <row r="40">
      <c r="A40" s="21">
        <v>36.0</v>
      </c>
      <c r="B40" s="31" t="s">
        <v>348</v>
      </c>
      <c r="C40" s="31" t="s">
        <v>222</v>
      </c>
      <c r="D40" s="31"/>
      <c r="E40" s="49"/>
      <c r="F40" s="49"/>
      <c r="G40" s="49"/>
      <c r="H40" s="50"/>
      <c r="I40" s="50"/>
      <c r="J40" s="50"/>
      <c r="K40" s="51"/>
      <c r="L40" s="51"/>
      <c r="M40" s="51"/>
      <c r="N40" s="53">
        <v>614.0</v>
      </c>
      <c r="O40" s="54"/>
      <c r="P40" s="54"/>
      <c r="Q40" s="30">
        <f t="shared" si="1"/>
        <v>153.5</v>
      </c>
      <c r="R40" s="48">
        <f t="shared" si="2"/>
        <v>0</v>
      </c>
      <c r="S40" s="2">
        <f t="shared" si="3"/>
        <v>153.5</v>
      </c>
    </row>
    <row r="41">
      <c r="A41" s="32">
        <v>37.0</v>
      </c>
      <c r="B41" s="22" t="s">
        <v>360</v>
      </c>
      <c r="C41" s="22" t="s">
        <v>39</v>
      </c>
      <c r="D41" s="22"/>
      <c r="E41" s="24">
        <v>609.0</v>
      </c>
      <c r="F41" s="25"/>
      <c r="G41" s="25"/>
      <c r="H41" s="27"/>
      <c r="I41" s="27"/>
      <c r="J41" s="27"/>
      <c r="K41" s="48"/>
      <c r="L41" s="48"/>
      <c r="M41" s="48"/>
      <c r="N41" s="47"/>
      <c r="O41" s="47"/>
      <c r="P41" s="47"/>
      <c r="Q41" s="30">
        <f t="shared" si="1"/>
        <v>152.25</v>
      </c>
      <c r="R41" s="48">
        <f t="shared" si="2"/>
        <v>0</v>
      </c>
      <c r="S41" s="2">
        <f t="shared" si="3"/>
        <v>152.25</v>
      </c>
    </row>
    <row r="42">
      <c r="A42" s="21">
        <v>38.0</v>
      </c>
      <c r="B42" s="31" t="s">
        <v>422</v>
      </c>
      <c r="C42" s="31" t="s">
        <v>15</v>
      </c>
      <c r="D42" s="31"/>
      <c r="E42" s="49"/>
      <c r="F42" s="49"/>
      <c r="G42" s="49"/>
      <c r="H42" s="95">
        <v>591.0</v>
      </c>
      <c r="I42" s="50"/>
      <c r="J42" s="50"/>
      <c r="K42" s="52"/>
      <c r="L42" s="52"/>
      <c r="M42" s="52"/>
      <c r="N42" s="54"/>
      <c r="O42" s="54"/>
      <c r="P42" s="54"/>
      <c r="Q42" s="30">
        <f t="shared" si="1"/>
        <v>147.75</v>
      </c>
      <c r="R42" s="48">
        <f t="shared" si="2"/>
        <v>0</v>
      </c>
      <c r="S42" s="2">
        <f t="shared" si="3"/>
        <v>147.75</v>
      </c>
    </row>
    <row r="43">
      <c r="A43" s="32">
        <v>39.0</v>
      </c>
      <c r="B43" s="22" t="s">
        <v>423</v>
      </c>
      <c r="C43" s="22" t="s">
        <v>18</v>
      </c>
      <c r="D43" s="22"/>
      <c r="E43" s="24">
        <v>573.0</v>
      </c>
      <c r="F43" s="25"/>
      <c r="G43" s="25"/>
      <c r="H43" s="27"/>
      <c r="I43" s="27"/>
      <c r="J43" s="27"/>
      <c r="K43" s="48"/>
      <c r="L43" s="48"/>
      <c r="M43" s="48"/>
      <c r="N43" s="47"/>
      <c r="O43" s="47"/>
      <c r="P43" s="47"/>
      <c r="Q43" s="30">
        <f t="shared" si="1"/>
        <v>143.25</v>
      </c>
      <c r="R43" s="48">
        <f t="shared" si="2"/>
        <v>0</v>
      </c>
      <c r="S43" s="2">
        <f t="shared" si="3"/>
        <v>143.25</v>
      </c>
    </row>
    <row r="44">
      <c r="A44" s="21">
        <v>40.0</v>
      </c>
      <c r="B44" s="31" t="s">
        <v>424</v>
      </c>
      <c r="C44" s="31" t="s">
        <v>32</v>
      </c>
      <c r="D44" s="31"/>
      <c r="E44" s="49"/>
      <c r="F44" s="49"/>
      <c r="G44" s="49"/>
      <c r="H44" s="50"/>
      <c r="I44" s="50"/>
      <c r="J44" s="50"/>
      <c r="K44" s="51"/>
      <c r="L44" s="51"/>
      <c r="M44" s="51"/>
      <c r="N44" s="53">
        <v>566.0</v>
      </c>
      <c r="O44" s="54"/>
      <c r="P44" s="54"/>
      <c r="Q44" s="30">
        <f t="shared" si="1"/>
        <v>141.5</v>
      </c>
      <c r="R44" s="48">
        <f t="shared" si="2"/>
        <v>0</v>
      </c>
      <c r="S44" s="2">
        <f t="shared" si="3"/>
        <v>141.5</v>
      </c>
    </row>
    <row r="45">
      <c r="A45" s="32">
        <v>41.0</v>
      </c>
      <c r="B45" s="22" t="s">
        <v>425</v>
      </c>
      <c r="C45" s="22" t="s">
        <v>18</v>
      </c>
      <c r="D45" s="22"/>
      <c r="E45" s="24">
        <v>528.0</v>
      </c>
      <c r="F45" s="25"/>
      <c r="G45" s="25"/>
      <c r="H45" s="27"/>
      <c r="I45" s="27"/>
      <c r="J45" s="27"/>
      <c r="K45" s="48"/>
      <c r="L45" s="48"/>
      <c r="M45" s="48"/>
      <c r="N45" s="47"/>
      <c r="O45" s="47"/>
      <c r="P45" s="47"/>
      <c r="Q45" s="30">
        <f t="shared" si="1"/>
        <v>132</v>
      </c>
      <c r="R45" s="48">
        <f t="shared" si="2"/>
        <v>0</v>
      </c>
      <c r="S45" s="2">
        <f t="shared" si="3"/>
        <v>132</v>
      </c>
    </row>
    <row r="46">
      <c r="A46" s="21">
        <v>42.0</v>
      </c>
      <c r="B46" s="31" t="s">
        <v>426</v>
      </c>
      <c r="C46" s="31" t="s">
        <v>225</v>
      </c>
      <c r="D46" s="31"/>
      <c r="E46" s="49"/>
      <c r="F46" s="49"/>
      <c r="G46" s="49"/>
      <c r="H46" s="50"/>
      <c r="I46" s="50"/>
      <c r="J46" s="50"/>
      <c r="K46" s="51"/>
      <c r="L46" s="51"/>
      <c r="M46" s="51"/>
      <c r="N46" s="53">
        <v>525.0</v>
      </c>
      <c r="O46" s="54"/>
      <c r="P46" s="54"/>
      <c r="Q46" s="30">
        <f t="shared" si="1"/>
        <v>131.25</v>
      </c>
      <c r="R46" s="48">
        <f t="shared" si="2"/>
        <v>0</v>
      </c>
      <c r="S46" s="2">
        <f t="shared" si="3"/>
        <v>131.25</v>
      </c>
    </row>
    <row r="47">
      <c r="A47" s="32">
        <v>43.0</v>
      </c>
      <c r="B47" s="31" t="s">
        <v>427</v>
      </c>
      <c r="C47" s="31" t="s">
        <v>15</v>
      </c>
      <c r="D47" s="31"/>
      <c r="E47" s="49"/>
      <c r="F47" s="49"/>
      <c r="G47" s="49"/>
      <c r="H47" s="95">
        <v>464.0</v>
      </c>
      <c r="I47" s="50"/>
      <c r="J47" s="50"/>
      <c r="K47" s="52"/>
      <c r="L47" s="52"/>
      <c r="M47" s="52"/>
      <c r="N47" s="54"/>
      <c r="O47" s="54"/>
      <c r="P47" s="54"/>
      <c r="Q47" s="30">
        <f t="shared" si="1"/>
        <v>116</v>
      </c>
      <c r="R47" s="48">
        <f t="shared" si="2"/>
        <v>0</v>
      </c>
      <c r="S47" s="2">
        <f t="shared" si="3"/>
        <v>116</v>
      </c>
    </row>
    <row r="48">
      <c r="A48" s="21">
        <v>44.0</v>
      </c>
      <c r="B48" s="55" t="s">
        <v>358</v>
      </c>
      <c r="C48" s="139" t="s">
        <v>32</v>
      </c>
      <c r="D48" s="139"/>
      <c r="E48" s="49"/>
      <c r="F48" s="49"/>
      <c r="G48" s="49"/>
      <c r="H48" s="50"/>
      <c r="I48" s="50"/>
      <c r="J48" s="50"/>
      <c r="K48" s="51">
        <v>435.0</v>
      </c>
      <c r="L48" s="52"/>
      <c r="M48" s="52"/>
      <c r="N48" s="54"/>
      <c r="O48" s="54"/>
      <c r="P48" s="54"/>
      <c r="Q48" s="30">
        <f t="shared" si="1"/>
        <v>108.75</v>
      </c>
      <c r="R48" s="48">
        <f t="shared" si="2"/>
        <v>0</v>
      </c>
      <c r="S48" s="2">
        <f t="shared" si="3"/>
        <v>108.75</v>
      </c>
    </row>
    <row r="49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</sheetData>
  <mergeCells count="4">
    <mergeCell ref="E3:G3"/>
    <mergeCell ref="H3:J3"/>
    <mergeCell ref="K3:M3"/>
    <mergeCell ref="N3:P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3" max="3" width="8.63"/>
    <col customWidth="1" min="6" max="9" width="6.0"/>
    <col customWidth="1" min="10" max="11" width="5.25"/>
  </cols>
  <sheetData>
    <row r="1">
      <c r="A1" s="122" t="s">
        <v>217</v>
      </c>
      <c r="E1" s="124"/>
    </row>
    <row r="2">
      <c r="A2" s="1"/>
      <c r="E2" s="124"/>
    </row>
    <row r="3">
      <c r="A3" s="2"/>
      <c r="B3" s="3"/>
      <c r="C3" s="3"/>
      <c r="D3" s="3"/>
      <c r="E3" s="87"/>
      <c r="F3" s="8" t="s">
        <v>218</v>
      </c>
      <c r="G3" s="5"/>
      <c r="H3" s="6"/>
      <c r="I3" s="9" t="s">
        <v>3</v>
      </c>
      <c r="J3" s="5"/>
      <c r="K3" s="6"/>
      <c r="L3" s="90"/>
      <c r="M3" s="90"/>
      <c r="N3" s="3"/>
    </row>
    <row r="4">
      <c r="A4" s="99" t="s">
        <v>4</v>
      </c>
      <c r="B4" s="99" t="s">
        <v>5</v>
      </c>
      <c r="C4" s="99"/>
      <c r="D4" s="99" t="s">
        <v>6</v>
      </c>
      <c r="E4" s="13" t="s">
        <v>219</v>
      </c>
      <c r="F4" s="16" t="s">
        <v>8</v>
      </c>
      <c r="G4" s="16" t="s">
        <v>9</v>
      </c>
      <c r="H4" s="16" t="s">
        <v>10</v>
      </c>
      <c r="I4" s="17" t="s">
        <v>8</v>
      </c>
      <c r="J4" s="17" t="s">
        <v>9</v>
      </c>
      <c r="K4" s="17" t="s">
        <v>10</v>
      </c>
      <c r="L4" s="18" t="s">
        <v>11</v>
      </c>
      <c r="M4" s="19" t="s">
        <v>12</v>
      </c>
      <c r="N4" s="20" t="s">
        <v>13</v>
      </c>
    </row>
    <row r="5">
      <c r="A5" s="61"/>
      <c r="B5" s="23" t="s">
        <v>377</v>
      </c>
      <c r="C5" s="23"/>
      <c r="D5" s="23" t="s">
        <v>220</v>
      </c>
      <c r="E5" s="33" t="s">
        <v>34</v>
      </c>
      <c r="F5" s="28">
        <v>658.0</v>
      </c>
      <c r="G5" s="28"/>
      <c r="H5" s="28"/>
      <c r="I5" s="29"/>
      <c r="J5" s="105"/>
      <c r="K5" s="105"/>
      <c r="L5" s="61">
        <f t="shared" ref="L5:L51" si="1">(I5+F5)/4</f>
        <v>164.5</v>
      </c>
      <c r="M5" s="61">
        <f t="shared" ref="M5:M51" si="2">K5+H5</f>
        <v>0</v>
      </c>
      <c r="N5" s="61">
        <f t="shared" ref="N5:N51" si="3">L5+M5</f>
        <v>164.5</v>
      </c>
    </row>
    <row r="6">
      <c r="A6" s="61"/>
      <c r="B6" s="108" t="s">
        <v>376</v>
      </c>
      <c r="C6" s="108"/>
      <c r="D6" s="108" t="s">
        <v>221</v>
      </c>
      <c r="E6" s="127" t="s">
        <v>34</v>
      </c>
      <c r="F6" s="28">
        <v>647.0</v>
      </c>
      <c r="G6" s="28"/>
      <c r="H6" s="28"/>
      <c r="I6" s="112"/>
      <c r="J6" s="112"/>
      <c r="K6" s="112"/>
      <c r="L6" s="61">
        <f t="shared" si="1"/>
        <v>161.75</v>
      </c>
      <c r="M6" s="61">
        <f t="shared" si="2"/>
        <v>0</v>
      </c>
      <c r="N6" s="61">
        <f t="shared" si="3"/>
        <v>161.75</v>
      </c>
    </row>
    <row r="7">
      <c r="A7" s="32"/>
      <c r="B7" s="23" t="s">
        <v>374</v>
      </c>
      <c r="C7" s="23"/>
      <c r="D7" s="23" t="s">
        <v>213</v>
      </c>
      <c r="E7" s="33"/>
      <c r="F7" s="28">
        <v>646.0</v>
      </c>
      <c r="G7" s="28"/>
      <c r="H7" s="28"/>
      <c r="I7" s="29"/>
      <c r="J7" s="17"/>
      <c r="K7" s="17"/>
      <c r="L7" s="61">
        <f t="shared" si="1"/>
        <v>161.5</v>
      </c>
      <c r="M7" s="61">
        <f t="shared" si="2"/>
        <v>0</v>
      </c>
      <c r="N7" s="61">
        <f t="shared" si="3"/>
        <v>161.5</v>
      </c>
    </row>
    <row r="8">
      <c r="A8" s="32"/>
      <c r="B8" s="23" t="s">
        <v>375</v>
      </c>
      <c r="C8" s="23"/>
      <c r="D8" s="23" t="s">
        <v>225</v>
      </c>
      <c r="E8" s="33" t="s">
        <v>21</v>
      </c>
      <c r="F8" s="28">
        <v>637.0</v>
      </c>
      <c r="G8" s="28"/>
      <c r="H8" s="28"/>
      <c r="I8" s="29"/>
      <c r="J8" s="101"/>
      <c r="K8" s="101"/>
      <c r="L8" s="61">
        <f t="shared" si="1"/>
        <v>159.25</v>
      </c>
      <c r="M8" s="61">
        <f t="shared" si="2"/>
        <v>0</v>
      </c>
      <c r="N8" s="61">
        <f t="shared" si="3"/>
        <v>159.25</v>
      </c>
    </row>
    <row r="9">
      <c r="A9" s="32"/>
      <c r="B9" s="23" t="s">
        <v>381</v>
      </c>
      <c r="C9" s="23"/>
      <c r="D9" s="23" t="s">
        <v>221</v>
      </c>
      <c r="E9" s="33"/>
      <c r="F9" s="28">
        <v>629.0</v>
      </c>
      <c r="G9" s="28"/>
      <c r="H9" s="28"/>
      <c r="I9" s="29"/>
      <c r="J9" s="17"/>
      <c r="K9" s="17"/>
      <c r="L9" s="61">
        <f t="shared" si="1"/>
        <v>157.25</v>
      </c>
      <c r="M9" s="61">
        <f t="shared" si="2"/>
        <v>0</v>
      </c>
      <c r="N9" s="61">
        <f t="shared" si="3"/>
        <v>157.25</v>
      </c>
    </row>
    <row r="10">
      <c r="A10" s="61"/>
      <c r="B10" s="23" t="s">
        <v>428</v>
      </c>
      <c r="C10" s="23"/>
      <c r="D10" s="23" t="s">
        <v>226</v>
      </c>
      <c r="E10" s="33"/>
      <c r="F10" s="28">
        <v>629.0</v>
      </c>
      <c r="G10" s="28"/>
      <c r="H10" s="28"/>
      <c r="I10" s="29"/>
      <c r="J10" s="105"/>
      <c r="K10" s="105"/>
      <c r="L10" s="61">
        <f t="shared" si="1"/>
        <v>157.25</v>
      </c>
      <c r="M10" s="61">
        <f t="shared" si="2"/>
        <v>0</v>
      </c>
      <c r="N10" s="61">
        <f t="shared" si="3"/>
        <v>157.25</v>
      </c>
    </row>
    <row r="11">
      <c r="A11" s="32"/>
      <c r="B11" s="23" t="s">
        <v>429</v>
      </c>
      <c r="C11" s="23"/>
      <c r="D11" s="23" t="s">
        <v>222</v>
      </c>
      <c r="E11" s="33"/>
      <c r="F11" s="113">
        <v>628.0</v>
      </c>
      <c r="G11" s="28"/>
      <c r="H11" s="28"/>
      <c r="I11" s="47"/>
      <c r="J11" s="17"/>
      <c r="K11" s="17"/>
      <c r="L11" s="61">
        <f t="shared" si="1"/>
        <v>157</v>
      </c>
      <c r="M11" s="61">
        <f t="shared" si="2"/>
        <v>0</v>
      </c>
      <c r="N11" s="61">
        <f t="shared" si="3"/>
        <v>157</v>
      </c>
    </row>
    <row r="12">
      <c r="A12" s="61"/>
      <c r="B12" s="23" t="s">
        <v>378</v>
      </c>
      <c r="C12" s="23"/>
      <c r="D12" s="23" t="s">
        <v>32</v>
      </c>
      <c r="E12" s="33"/>
      <c r="F12" s="28">
        <v>624.0</v>
      </c>
      <c r="G12" s="28"/>
      <c r="H12" s="28"/>
      <c r="I12" s="101"/>
      <c r="J12" s="105"/>
      <c r="K12" s="105"/>
      <c r="L12" s="61">
        <f t="shared" si="1"/>
        <v>156</v>
      </c>
      <c r="M12" s="61">
        <f t="shared" si="2"/>
        <v>0</v>
      </c>
      <c r="N12" s="61">
        <f t="shared" si="3"/>
        <v>156</v>
      </c>
    </row>
    <row r="13">
      <c r="A13" s="61"/>
      <c r="B13" s="23" t="s">
        <v>384</v>
      </c>
      <c r="C13" s="23"/>
      <c r="D13" s="23" t="s">
        <v>222</v>
      </c>
      <c r="E13" s="33" t="s">
        <v>34</v>
      </c>
      <c r="F13" s="28">
        <v>621.0</v>
      </c>
      <c r="G13" s="28"/>
      <c r="H13" s="28"/>
      <c r="I13" s="101"/>
      <c r="J13" s="105"/>
      <c r="K13" s="105"/>
      <c r="L13" s="61">
        <f t="shared" si="1"/>
        <v>155.25</v>
      </c>
      <c r="M13" s="61">
        <f t="shared" si="2"/>
        <v>0</v>
      </c>
      <c r="N13" s="61">
        <f t="shared" si="3"/>
        <v>155.25</v>
      </c>
    </row>
    <row r="14">
      <c r="A14" s="61"/>
      <c r="B14" s="23" t="s">
        <v>385</v>
      </c>
      <c r="C14" s="23"/>
      <c r="D14" s="23" t="s">
        <v>221</v>
      </c>
      <c r="E14" s="33"/>
      <c r="F14" s="28">
        <v>620.0</v>
      </c>
      <c r="G14" s="28"/>
      <c r="H14" s="28"/>
      <c r="I14" s="101"/>
      <c r="J14" s="105"/>
      <c r="K14" s="105"/>
      <c r="L14" s="61">
        <f t="shared" si="1"/>
        <v>155</v>
      </c>
      <c r="M14" s="61">
        <f t="shared" si="2"/>
        <v>0</v>
      </c>
      <c r="N14" s="61">
        <f t="shared" si="3"/>
        <v>155</v>
      </c>
    </row>
    <row r="15">
      <c r="A15" s="61"/>
      <c r="B15" s="23" t="s">
        <v>380</v>
      </c>
      <c r="C15" s="23"/>
      <c r="D15" s="23" t="s">
        <v>221</v>
      </c>
      <c r="E15" s="33"/>
      <c r="F15" s="28">
        <v>613.0</v>
      </c>
      <c r="G15" s="28"/>
      <c r="H15" s="28"/>
      <c r="I15" s="29"/>
      <c r="J15" s="105"/>
      <c r="K15" s="105"/>
      <c r="L15" s="61">
        <f t="shared" si="1"/>
        <v>153.25</v>
      </c>
      <c r="M15" s="61">
        <f t="shared" si="2"/>
        <v>0</v>
      </c>
      <c r="N15" s="61">
        <f t="shared" si="3"/>
        <v>153.25</v>
      </c>
    </row>
    <row r="16">
      <c r="A16" s="32"/>
      <c r="B16" s="23" t="s">
        <v>430</v>
      </c>
      <c r="C16" s="23"/>
      <c r="D16" s="23" t="s">
        <v>213</v>
      </c>
      <c r="E16" s="33"/>
      <c r="F16" s="28">
        <v>605.0</v>
      </c>
      <c r="G16" s="28"/>
      <c r="H16" s="28"/>
      <c r="I16" s="29"/>
      <c r="J16" s="17"/>
      <c r="K16" s="17"/>
      <c r="L16" s="61">
        <f t="shared" si="1"/>
        <v>151.25</v>
      </c>
      <c r="M16" s="61">
        <f t="shared" si="2"/>
        <v>0</v>
      </c>
      <c r="N16" s="61">
        <f t="shared" si="3"/>
        <v>151.25</v>
      </c>
    </row>
    <row r="17">
      <c r="A17" s="32"/>
      <c r="B17" s="108" t="s">
        <v>325</v>
      </c>
      <c r="C17" s="108"/>
      <c r="D17" s="108" t="s">
        <v>213</v>
      </c>
      <c r="E17" s="33"/>
      <c r="F17" s="28">
        <v>600.0</v>
      </c>
      <c r="G17" s="28"/>
      <c r="H17" s="28"/>
      <c r="I17" s="112"/>
      <c r="J17" s="114"/>
      <c r="K17" s="114"/>
      <c r="L17" s="61">
        <f t="shared" si="1"/>
        <v>150</v>
      </c>
      <c r="M17" s="61">
        <f t="shared" si="2"/>
        <v>0</v>
      </c>
      <c r="N17" s="61">
        <f t="shared" si="3"/>
        <v>150</v>
      </c>
    </row>
    <row r="18">
      <c r="A18" s="32"/>
      <c r="B18" s="23" t="s">
        <v>431</v>
      </c>
      <c r="C18" s="23"/>
      <c r="D18" s="23" t="s">
        <v>226</v>
      </c>
      <c r="E18" s="33"/>
      <c r="F18" s="28">
        <v>599.0</v>
      </c>
      <c r="G18" s="28"/>
      <c r="H18" s="28"/>
      <c r="I18" s="101"/>
      <c r="J18" s="105"/>
      <c r="K18" s="105"/>
      <c r="L18" s="61">
        <f t="shared" si="1"/>
        <v>149.75</v>
      </c>
      <c r="M18" s="61">
        <f t="shared" si="2"/>
        <v>0</v>
      </c>
      <c r="N18" s="61">
        <f t="shared" si="3"/>
        <v>149.75</v>
      </c>
    </row>
    <row r="19">
      <c r="A19" s="61"/>
      <c r="B19" s="23" t="s">
        <v>432</v>
      </c>
      <c r="C19" s="23"/>
      <c r="D19" s="23" t="s">
        <v>226</v>
      </c>
      <c r="E19" s="33"/>
      <c r="F19" s="28">
        <v>597.0</v>
      </c>
      <c r="G19" s="28"/>
      <c r="H19" s="28"/>
      <c r="I19" s="101"/>
      <c r="J19" s="105"/>
      <c r="K19" s="105"/>
      <c r="L19" s="61">
        <f t="shared" si="1"/>
        <v>149.25</v>
      </c>
      <c r="M19" s="61">
        <f t="shared" si="2"/>
        <v>0</v>
      </c>
      <c r="N19" s="61">
        <f t="shared" si="3"/>
        <v>149.25</v>
      </c>
    </row>
    <row r="20">
      <c r="A20" s="32"/>
      <c r="B20" s="108" t="s">
        <v>382</v>
      </c>
      <c r="C20" s="108"/>
      <c r="D20" s="108" t="s">
        <v>224</v>
      </c>
      <c r="E20" s="33"/>
      <c r="F20" s="28">
        <v>592.0</v>
      </c>
      <c r="G20" s="28"/>
      <c r="H20" s="28"/>
      <c r="I20" s="112"/>
      <c r="J20" s="112"/>
      <c r="K20" s="112"/>
      <c r="L20" s="61">
        <f t="shared" si="1"/>
        <v>148</v>
      </c>
      <c r="M20" s="61">
        <f t="shared" si="2"/>
        <v>0</v>
      </c>
      <c r="N20" s="61">
        <f t="shared" si="3"/>
        <v>148</v>
      </c>
    </row>
    <row r="21">
      <c r="A21" s="61"/>
      <c r="B21" s="23" t="s">
        <v>308</v>
      </c>
      <c r="C21" s="23"/>
      <c r="D21" s="23" t="s">
        <v>32</v>
      </c>
      <c r="E21" s="33"/>
      <c r="F21" s="28">
        <v>557.0</v>
      </c>
      <c r="G21" s="28"/>
      <c r="H21" s="28"/>
      <c r="I21" s="105"/>
      <c r="J21" s="105"/>
      <c r="K21" s="105"/>
      <c r="L21" s="61">
        <f t="shared" si="1"/>
        <v>139.25</v>
      </c>
      <c r="M21" s="61">
        <f t="shared" si="2"/>
        <v>0</v>
      </c>
      <c r="N21" s="61">
        <f t="shared" si="3"/>
        <v>139.25</v>
      </c>
    </row>
    <row r="22">
      <c r="A22" s="61"/>
      <c r="B22" s="108" t="s">
        <v>82</v>
      </c>
      <c r="C22" s="108"/>
      <c r="D22" s="108" t="s">
        <v>224</v>
      </c>
      <c r="E22" s="33"/>
      <c r="F22" s="28">
        <v>530.0</v>
      </c>
      <c r="G22" s="28"/>
      <c r="H22" s="28"/>
      <c r="I22" s="112"/>
      <c r="J22" s="114"/>
      <c r="K22" s="114"/>
      <c r="L22" s="61">
        <f t="shared" si="1"/>
        <v>132.5</v>
      </c>
      <c r="M22" s="61">
        <f t="shared" si="2"/>
        <v>0</v>
      </c>
      <c r="N22" s="61">
        <f t="shared" si="3"/>
        <v>132.5</v>
      </c>
    </row>
    <row r="23">
      <c r="A23" s="61"/>
      <c r="B23" s="23" t="s">
        <v>311</v>
      </c>
      <c r="C23" s="23"/>
      <c r="D23" s="23" t="s">
        <v>32</v>
      </c>
      <c r="E23" s="33"/>
      <c r="F23" s="28">
        <v>526.0</v>
      </c>
      <c r="G23" s="28"/>
      <c r="H23" s="28"/>
      <c r="I23" s="47"/>
      <c r="J23" s="105"/>
      <c r="K23" s="105"/>
      <c r="L23" s="61">
        <f t="shared" si="1"/>
        <v>131.5</v>
      </c>
      <c r="M23" s="61">
        <f t="shared" si="2"/>
        <v>0</v>
      </c>
      <c r="N23" s="61">
        <f t="shared" si="3"/>
        <v>131.5</v>
      </c>
    </row>
    <row r="24">
      <c r="A24" s="32"/>
      <c r="B24" s="23" t="s">
        <v>388</v>
      </c>
      <c r="C24" s="23"/>
      <c r="D24" s="23" t="s">
        <v>213</v>
      </c>
      <c r="E24" s="33"/>
      <c r="F24" s="28">
        <v>526.0</v>
      </c>
      <c r="G24" s="28"/>
      <c r="H24" s="28"/>
      <c r="I24" s="105"/>
      <c r="J24" s="105"/>
      <c r="K24" s="105"/>
      <c r="L24" s="61">
        <f t="shared" si="1"/>
        <v>131.5</v>
      </c>
      <c r="M24" s="61">
        <f t="shared" si="2"/>
        <v>0</v>
      </c>
      <c r="N24" s="61">
        <f t="shared" si="3"/>
        <v>131.5</v>
      </c>
    </row>
    <row r="25">
      <c r="A25" s="32"/>
      <c r="B25" s="108" t="s">
        <v>389</v>
      </c>
      <c r="C25" s="108"/>
      <c r="D25" s="108" t="s">
        <v>225</v>
      </c>
      <c r="E25" s="127"/>
      <c r="F25" s="28">
        <v>314.0</v>
      </c>
      <c r="G25" s="28"/>
      <c r="H25" s="28"/>
      <c r="I25" s="112"/>
      <c r="J25" s="114"/>
      <c r="K25" s="114"/>
      <c r="L25" s="61">
        <f t="shared" si="1"/>
        <v>78.5</v>
      </c>
      <c r="M25" s="61">
        <f t="shared" si="2"/>
        <v>0</v>
      </c>
      <c r="N25" s="61">
        <f t="shared" si="3"/>
        <v>78.5</v>
      </c>
    </row>
    <row r="26">
      <c r="A26" s="61"/>
      <c r="B26" s="23"/>
      <c r="C26" s="23"/>
      <c r="D26" s="23"/>
      <c r="E26" s="33"/>
      <c r="F26" s="28"/>
      <c r="G26" s="28"/>
      <c r="H26" s="28"/>
      <c r="I26" s="101"/>
      <c r="J26" s="105"/>
      <c r="K26" s="105"/>
      <c r="L26" s="61">
        <f t="shared" si="1"/>
        <v>0</v>
      </c>
      <c r="M26" s="61">
        <f t="shared" si="2"/>
        <v>0</v>
      </c>
      <c r="N26" s="61">
        <f t="shared" si="3"/>
        <v>0</v>
      </c>
    </row>
    <row r="27">
      <c r="A27" s="61"/>
      <c r="B27" s="23"/>
      <c r="C27" s="23"/>
      <c r="D27" s="23"/>
      <c r="E27" s="33"/>
      <c r="F27" s="28"/>
      <c r="G27" s="28"/>
      <c r="H27" s="28"/>
      <c r="I27" s="101"/>
      <c r="J27" s="105"/>
      <c r="K27" s="105"/>
      <c r="L27" s="61">
        <f t="shared" si="1"/>
        <v>0</v>
      </c>
      <c r="M27" s="61">
        <f t="shared" si="2"/>
        <v>0</v>
      </c>
      <c r="N27" s="61">
        <f t="shared" si="3"/>
        <v>0</v>
      </c>
    </row>
    <row r="28">
      <c r="A28" s="32"/>
      <c r="B28" s="108"/>
      <c r="C28" s="108"/>
      <c r="D28" s="108"/>
      <c r="E28" s="127"/>
      <c r="F28" s="28"/>
      <c r="G28" s="28"/>
      <c r="H28" s="28"/>
      <c r="I28" s="114"/>
      <c r="J28" s="114"/>
      <c r="K28" s="114"/>
      <c r="L28" s="61">
        <f t="shared" si="1"/>
        <v>0</v>
      </c>
      <c r="M28" s="61">
        <f t="shared" si="2"/>
        <v>0</v>
      </c>
      <c r="N28" s="61">
        <f t="shared" si="3"/>
        <v>0</v>
      </c>
    </row>
    <row r="29">
      <c r="A29" s="61"/>
      <c r="B29" s="108"/>
      <c r="C29" s="108"/>
      <c r="D29" s="108"/>
      <c r="E29" s="127"/>
      <c r="F29" s="28"/>
      <c r="G29" s="28"/>
      <c r="H29" s="28"/>
      <c r="I29" s="112"/>
      <c r="J29" s="114"/>
      <c r="K29" s="114"/>
      <c r="L29" s="61">
        <f t="shared" si="1"/>
        <v>0</v>
      </c>
      <c r="M29" s="61">
        <f t="shared" si="2"/>
        <v>0</v>
      </c>
      <c r="N29" s="61">
        <f t="shared" si="3"/>
        <v>0</v>
      </c>
    </row>
    <row r="30">
      <c r="A30" s="32"/>
      <c r="B30" s="115"/>
      <c r="C30" s="115"/>
      <c r="D30" s="115"/>
      <c r="E30" s="128"/>
      <c r="F30" s="118"/>
      <c r="G30" s="118"/>
      <c r="H30" s="118"/>
      <c r="I30" s="119"/>
      <c r="J30" s="119"/>
      <c r="K30" s="119"/>
      <c r="L30" s="61">
        <f t="shared" si="1"/>
        <v>0</v>
      </c>
      <c r="M30" s="61">
        <f t="shared" si="2"/>
        <v>0</v>
      </c>
      <c r="N30" s="61">
        <f t="shared" si="3"/>
        <v>0</v>
      </c>
    </row>
    <row r="31">
      <c r="A31" s="32"/>
      <c r="B31" s="23"/>
      <c r="C31" s="23"/>
      <c r="D31" s="23"/>
      <c r="E31" s="33"/>
      <c r="F31" s="28"/>
      <c r="G31" s="28"/>
      <c r="H31" s="28"/>
      <c r="I31" s="101"/>
      <c r="J31" s="105"/>
      <c r="K31" s="105"/>
      <c r="L31" s="61">
        <f t="shared" si="1"/>
        <v>0</v>
      </c>
      <c r="M31" s="61">
        <f t="shared" si="2"/>
        <v>0</v>
      </c>
      <c r="N31" s="61">
        <f t="shared" si="3"/>
        <v>0</v>
      </c>
    </row>
    <row r="32">
      <c r="A32" s="61"/>
      <c r="B32" s="23"/>
      <c r="C32" s="23"/>
      <c r="D32" s="23"/>
      <c r="E32" s="33"/>
      <c r="F32" s="28"/>
      <c r="G32" s="28"/>
      <c r="H32" s="28"/>
      <c r="I32" s="101"/>
      <c r="J32" s="105"/>
      <c r="K32" s="105"/>
      <c r="L32" s="61">
        <f t="shared" si="1"/>
        <v>0</v>
      </c>
      <c r="M32" s="61">
        <f t="shared" si="2"/>
        <v>0</v>
      </c>
      <c r="N32" s="61">
        <f t="shared" si="3"/>
        <v>0</v>
      </c>
    </row>
    <row r="33">
      <c r="A33" s="61"/>
      <c r="B33" s="115"/>
      <c r="C33" s="115"/>
      <c r="D33" s="115"/>
      <c r="E33" s="128"/>
      <c r="F33" s="118"/>
      <c r="G33" s="120"/>
      <c r="H33" s="120"/>
      <c r="I33" s="119"/>
      <c r="J33" s="119"/>
      <c r="K33" s="119"/>
      <c r="L33" s="61">
        <f t="shared" si="1"/>
        <v>0</v>
      </c>
      <c r="M33" s="61">
        <f t="shared" si="2"/>
        <v>0</v>
      </c>
      <c r="N33" s="61">
        <f t="shared" si="3"/>
        <v>0</v>
      </c>
    </row>
    <row r="34">
      <c r="A34" s="32"/>
      <c r="B34" s="23"/>
      <c r="C34" s="23"/>
      <c r="D34" s="23"/>
      <c r="E34" s="33"/>
      <c r="F34" s="28"/>
      <c r="G34" s="28"/>
      <c r="H34" s="28"/>
      <c r="I34" s="47"/>
      <c r="J34" s="105"/>
      <c r="K34" s="105"/>
      <c r="L34" s="61">
        <f t="shared" si="1"/>
        <v>0</v>
      </c>
      <c r="M34" s="61">
        <f t="shared" si="2"/>
        <v>0</v>
      </c>
      <c r="N34" s="61">
        <f t="shared" si="3"/>
        <v>0</v>
      </c>
    </row>
    <row r="35">
      <c r="A35" s="61"/>
      <c r="B35" s="108"/>
      <c r="C35" s="108"/>
      <c r="D35" s="108"/>
      <c r="E35" s="127"/>
      <c r="F35" s="28"/>
      <c r="G35" s="28"/>
      <c r="H35" s="28"/>
      <c r="I35" s="114"/>
      <c r="J35" s="114"/>
      <c r="K35" s="114"/>
      <c r="L35" s="61">
        <f t="shared" si="1"/>
        <v>0</v>
      </c>
      <c r="M35" s="61">
        <f t="shared" si="2"/>
        <v>0</v>
      </c>
      <c r="N35" s="61">
        <f t="shared" si="3"/>
        <v>0</v>
      </c>
    </row>
    <row r="36">
      <c r="A36" s="61"/>
      <c r="B36" s="108"/>
      <c r="C36" s="108"/>
      <c r="D36" s="108"/>
      <c r="E36" s="127"/>
      <c r="F36" s="28"/>
      <c r="G36" s="28"/>
      <c r="H36" s="28"/>
      <c r="I36" s="114"/>
      <c r="J36" s="114"/>
      <c r="K36" s="114"/>
      <c r="L36" s="61">
        <f t="shared" si="1"/>
        <v>0</v>
      </c>
      <c r="M36" s="61">
        <f t="shared" si="2"/>
        <v>0</v>
      </c>
      <c r="N36" s="61">
        <f t="shared" si="3"/>
        <v>0</v>
      </c>
    </row>
    <row r="37">
      <c r="A37" s="32"/>
      <c r="B37" s="31"/>
      <c r="C37" s="31"/>
      <c r="D37" s="31"/>
      <c r="E37" s="42"/>
      <c r="F37" s="28"/>
      <c r="G37" s="28"/>
      <c r="H37" s="28"/>
      <c r="I37" s="112"/>
      <c r="J37" s="114"/>
      <c r="K37" s="114"/>
      <c r="L37" s="61">
        <f t="shared" si="1"/>
        <v>0</v>
      </c>
      <c r="M37" s="61">
        <f t="shared" si="2"/>
        <v>0</v>
      </c>
      <c r="N37" s="61">
        <f t="shared" si="3"/>
        <v>0</v>
      </c>
    </row>
    <row r="38">
      <c r="A38" s="32"/>
      <c r="B38" s="115"/>
      <c r="C38" s="115"/>
      <c r="D38" s="115"/>
      <c r="E38" s="128"/>
      <c r="F38" s="118"/>
      <c r="G38" s="120"/>
      <c r="H38" s="120"/>
      <c r="I38" s="119"/>
      <c r="J38" s="119"/>
      <c r="K38" s="119"/>
      <c r="L38" s="61">
        <f t="shared" si="1"/>
        <v>0</v>
      </c>
      <c r="M38" s="61">
        <f t="shared" si="2"/>
        <v>0</v>
      </c>
      <c r="N38" s="61">
        <f t="shared" si="3"/>
        <v>0</v>
      </c>
    </row>
    <row r="39">
      <c r="A39" s="61"/>
      <c r="B39" s="108"/>
      <c r="C39" s="108"/>
      <c r="D39" s="108"/>
      <c r="E39" s="127"/>
      <c r="F39" s="28"/>
      <c r="G39" s="28"/>
      <c r="H39" s="28"/>
      <c r="I39" s="114"/>
      <c r="J39" s="114"/>
      <c r="K39" s="114"/>
      <c r="L39" s="61">
        <f t="shared" si="1"/>
        <v>0</v>
      </c>
      <c r="M39" s="61">
        <f t="shared" si="2"/>
        <v>0</v>
      </c>
      <c r="N39" s="61">
        <f t="shared" si="3"/>
        <v>0</v>
      </c>
    </row>
    <row r="40">
      <c r="A40" s="32"/>
      <c r="B40" s="31"/>
      <c r="C40" s="31"/>
      <c r="D40" s="31"/>
      <c r="E40" s="42"/>
      <c r="F40" s="28"/>
      <c r="G40" s="28"/>
      <c r="H40" s="28"/>
      <c r="I40" s="112"/>
      <c r="J40" s="114"/>
      <c r="K40" s="114"/>
      <c r="L40" s="61">
        <f t="shared" si="1"/>
        <v>0</v>
      </c>
      <c r="M40" s="61">
        <f t="shared" si="2"/>
        <v>0</v>
      </c>
      <c r="N40" s="61">
        <f t="shared" si="3"/>
        <v>0</v>
      </c>
    </row>
    <row r="41">
      <c r="A41" s="61"/>
      <c r="B41" s="23"/>
      <c r="C41" s="23"/>
      <c r="D41" s="23"/>
      <c r="E41" s="33"/>
      <c r="F41" s="28"/>
      <c r="G41" s="28"/>
      <c r="H41" s="28"/>
      <c r="I41" s="105"/>
      <c r="J41" s="105"/>
      <c r="K41" s="105"/>
      <c r="L41" s="61">
        <f t="shared" si="1"/>
        <v>0</v>
      </c>
      <c r="M41" s="61">
        <f t="shared" si="2"/>
        <v>0</v>
      </c>
      <c r="N41" s="61">
        <f t="shared" si="3"/>
        <v>0</v>
      </c>
    </row>
    <row r="42">
      <c r="A42" s="61"/>
      <c r="B42" s="108"/>
      <c r="C42" s="121"/>
      <c r="D42" s="121"/>
      <c r="E42" s="129"/>
      <c r="F42" s="28"/>
      <c r="G42" s="28"/>
      <c r="H42" s="28"/>
      <c r="I42" s="114"/>
      <c r="J42" s="114"/>
      <c r="K42" s="114"/>
      <c r="L42" s="61">
        <f t="shared" si="1"/>
        <v>0</v>
      </c>
      <c r="M42" s="61">
        <f t="shared" si="2"/>
        <v>0</v>
      </c>
      <c r="N42" s="61">
        <f t="shared" si="3"/>
        <v>0</v>
      </c>
    </row>
    <row r="43">
      <c r="A43" s="61"/>
      <c r="B43" s="115"/>
      <c r="C43" s="115"/>
      <c r="D43" s="115"/>
      <c r="E43" s="128"/>
      <c r="F43" s="118"/>
      <c r="G43" s="120"/>
      <c r="H43" s="120"/>
      <c r="I43" s="119"/>
      <c r="J43" s="119"/>
      <c r="K43" s="119"/>
      <c r="L43" s="61">
        <f t="shared" si="1"/>
        <v>0</v>
      </c>
      <c r="M43" s="61">
        <f t="shared" si="2"/>
        <v>0</v>
      </c>
      <c r="N43" s="61">
        <f t="shared" si="3"/>
        <v>0</v>
      </c>
    </row>
    <row r="44">
      <c r="A44" s="32"/>
      <c r="B44" s="23"/>
      <c r="C44" s="23"/>
      <c r="D44" s="23"/>
      <c r="E44" s="33"/>
      <c r="F44" s="28"/>
      <c r="G44" s="28"/>
      <c r="H44" s="28"/>
      <c r="I44" s="105"/>
      <c r="J44" s="105"/>
      <c r="K44" s="105"/>
      <c r="L44" s="61">
        <f t="shared" si="1"/>
        <v>0</v>
      </c>
      <c r="M44" s="61">
        <f t="shared" si="2"/>
        <v>0</v>
      </c>
      <c r="N44" s="61">
        <f t="shared" si="3"/>
        <v>0</v>
      </c>
    </row>
    <row r="45">
      <c r="A45" s="32"/>
      <c r="B45" s="115"/>
      <c r="C45" s="115"/>
      <c r="D45" s="115"/>
      <c r="E45" s="128"/>
      <c r="F45" s="118"/>
      <c r="G45" s="120"/>
      <c r="H45" s="120"/>
      <c r="I45" s="119"/>
      <c r="J45" s="119"/>
      <c r="K45" s="119"/>
      <c r="L45" s="61">
        <f t="shared" si="1"/>
        <v>0</v>
      </c>
      <c r="M45" s="61">
        <f t="shared" si="2"/>
        <v>0</v>
      </c>
      <c r="N45" s="61">
        <f t="shared" si="3"/>
        <v>0</v>
      </c>
    </row>
    <row r="46">
      <c r="A46" s="61"/>
      <c r="B46" s="108"/>
      <c r="C46" s="108"/>
      <c r="D46" s="108"/>
      <c r="E46" s="127"/>
      <c r="F46" s="28"/>
      <c r="G46" s="28"/>
      <c r="H46" s="28"/>
      <c r="I46" s="114"/>
      <c r="J46" s="114"/>
      <c r="K46" s="114"/>
      <c r="L46" s="61">
        <f t="shared" si="1"/>
        <v>0</v>
      </c>
      <c r="M46" s="61">
        <f t="shared" si="2"/>
        <v>0</v>
      </c>
      <c r="N46" s="61">
        <f t="shared" si="3"/>
        <v>0</v>
      </c>
    </row>
    <row r="47">
      <c r="A47" s="32"/>
      <c r="B47" s="31"/>
      <c r="C47" s="31"/>
      <c r="D47" s="31"/>
      <c r="E47" s="42"/>
      <c r="F47" s="28"/>
      <c r="G47" s="28"/>
      <c r="H47" s="28"/>
      <c r="I47" s="112"/>
      <c r="J47" s="114"/>
      <c r="K47" s="114"/>
      <c r="L47" s="61">
        <f t="shared" si="1"/>
        <v>0</v>
      </c>
      <c r="M47" s="61">
        <f t="shared" si="2"/>
        <v>0</v>
      </c>
      <c r="N47" s="61">
        <f t="shared" si="3"/>
        <v>0</v>
      </c>
    </row>
    <row r="48">
      <c r="A48" s="61"/>
      <c r="B48" s="23"/>
      <c r="C48" s="23"/>
      <c r="D48" s="23"/>
      <c r="E48" s="33"/>
      <c r="F48" s="28"/>
      <c r="G48" s="28"/>
      <c r="H48" s="28"/>
      <c r="I48" s="105"/>
      <c r="J48" s="105"/>
      <c r="K48" s="105"/>
      <c r="L48" s="61">
        <f t="shared" si="1"/>
        <v>0</v>
      </c>
      <c r="M48" s="61">
        <f t="shared" si="2"/>
        <v>0</v>
      </c>
      <c r="N48" s="61">
        <f t="shared" si="3"/>
        <v>0</v>
      </c>
    </row>
    <row r="49">
      <c r="A49" s="32"/>
      <c r="B49" s="108"/>
      <c r="C49" s="108"/>
      <c r="D49" s="108"/>
      <c r="E49" s="127"/>
      <c r="F49" s="28"/>
      <c r="G49" s="28"/>
      <c r="H49" s="28"/>
      <c r="I49" s="112"/>
      <c r="J49" s="114"/>
      <c r="K49" s="114"/>
      <c r="L49" s="61">
        <f t="shared" si="1"/>
        <v>0</v>
      </c>
      <c r="M49" s="61">
        <f t="shared" si="2"/>
        <v>0</v>
      </c>
      <c r="N49" s="61">
        <f t="shared" si="3"/>
        <v>0</v>
      </c>
    </row>
    <row r="50">
      <c r="A50" s="61"/>
      <c r="B50" s="23"/>
      <c r="C50" s="23"/>
      <c r="D50" s="23"/>
      <c r="E50" s="33"/>
      <c r="F50" s="28"/>
      <c r="G50" s="28"/>
      <c r="H50" s="28"/>
      <c r="I50" s="105"/>
      <c r="J50" s="105"/>
      <c r="K50" s="105"/>
      <c r="L50" s="61">
        <f t="shared" si="1"/>
        <v>0</v>
      </c>
      <c r="M50" s="61">
        <f t="shared" si="2"/>
        <v>0</v>
      </c>
      <c r="N50" s="61">
        <f t="shared" si="3"/>
        <v>0</v>
      </c>
    </row>
    <row r="51">
      <c r="A51" s="32"/>
      <c r="B51" s="31"/>
      <c r="C51" s="31"/>
      <c r="D51" s="31"/>
      <c r="E51" s="42"/>
      <c r="F51" s="28"/>
      <c r="G51" s="28"/>
      <c r="H51" s="28"/>
      <c r="I51" s="112"/>
      <c r="J51" s="114"/>
      <c r="K51" s="114"/>
      <c r="L51" s="61">
        <f t="shared" si="1"/>
        <v>0</v>
      </c>
      <c r="M51" s="61">
        <f t="shared" si="2"/>
        <v>0</v>
      </c>
      <c r="N51" s="61">
        <f t="shared" si="3"/>
        <v>0</v>
      </c>
    </row>
    <row r="52">
      <c r="E52" s="124"/>
    </row>
    <row r="53">
      <c r="E53" s="124"/>
    </row>
    <row r="54">
      <c r="E54" s="124"/>
    </row>
    <row r="55">
      <c r="E55" s="124"/>
    </row>
    <row r="56">
      <c r="E56" s="124"/>
    </row>
    <row r="57">
      <c r="E57" s="124"/>
    </row>
    <row r="58">
      <c r="E58" s="124"/>
    </row>
    <row r="59">
      <c r="E59" s="124"/>
    </row>
    <row r="60">
      <c r="E60" s="124"/>
    </row>
    <row r="61">
      <c r="E61" s="124"/>
    </row>
    <row r="62">
      <c r="E62" s="124"/>
    </row>
    <row r="63">
      <c r="E63" s="124"/>
    </row>
    <row r="64">
      <c r="E64" s="124"/>
    </row>
    <row r="65">
      <c r="E65" s="124"/>
    </row>
    <row r="66">
      <c r="E66" s="124"/>
    </row>
    <row r="67">
      <c r="E67" s="124"/>
    </row>
    <row r="68">
      <c r="E68" s="124"/>
    </row>
    <row r="69">
      <c r="E69" s="124"/>
    </row>
    <row r="70">
      <c r="E70" s="124"/>
    </row>
    <row r="71">
      <c r="E71" s="124"/>
    </row>
    <row r="72">
      <c r="E72" s="124"/>
    </row>
    <row r="73">
      <c r="E73" s="124"/>
    </row>
    <row r="74">
      <c r="E74" s="124"/>
    </row>
    <row r="75">
      <c r="E75" s="124"/>
    </row>
    <row r="76">
      <c r="E76" s="124"/>
    </row>
    <row r="77">
      <c r="E77" s="124"/>
    </row>
    <row r="78">
      <c r="E78" s="124"/>
    </row>
    <row r="79">
      <c r="E79" s="124"/>
    </row>
    <row r="80">
      <c r="E80" s="124"/>
    </row>
    <row r="81">
      <c r="E81" s="124"/>
    </row>
    <row r="82">
      <c r="E82" s="124"/>
    </row>
    <row r="83">
      <c r="E83" s="124"/>
    </row>
    <row r="84">
      <c r="E84" s="124"/>
    </row>
    <row r="85">
      <c r="E85" s="124"/>
    </row>
    <row r="86">
      <c r="E86" s="124"/>
    </row>
    <row r="87">
      <c r="E87" s="124"/>
    </row>
    <row r="88">
      <c r="E88" s="124"/>
    </row>
    <row r="89">
      <c r="E89" s="124"/>
    </row>
    <row r="90">
      <c r="E90" s="124"/>
    </row>
    <row r="91">
      <c r="E91" s="124"/>
    </row>
    <row r="92">
      <c r="E92" s="124"/>
    </row>
    <row r="93">
      <c r="E93" s="124"/>
    </row>
    <row r="94">
      <c r="E94" s="124"/>
    </row>
    <row r="95">
      <c r="E95" s="124"/>
    </row>
    <row r="96">
      <c r="E96" s="124"/>
    </row>
    <row r="97">
      <c r="E97" s="124"/>
    </row>
    <row r="98">
      <c r="E98" s="124"/>
    </row>
    <row r="99">
      <c r="E99" s="124"/>
    </row>
    <row r="100">
      <c r="E100" s="124"/>
    </row>
    <row r="101">
      <c r="E101" s="124"/>
    </row>
    <row r="102">
      <c r="E102" s="124"/>
    </row>
    <row r="103">
      <c r="E103" s="124"/>
    </row>
    <row r="104">
      <c r="E104" s="124"/>
    </row>
    <row r="105">
      <c r="E105" s="124"/>
    </row>
    <row r="106">
      <c r="E106" s="124"/>
    </row>
    <row r="107">
      <c r="E107" s="124"/>
    </row>
    <row r="108">
      <c r="E108" s="124"/>
    </row>
    <row r="109">
      <c r="E109" s="124"/>
    </row>
    <row r="110">
      <c r="E110" s="124"/>
    </row>
    <row r="111">
      <c r="E111" s="124"/>
    </row>
    <row r="112">
      <c r="E112" s="124"/>
    </row>
    <row r="113">
      <c r="E113" s="124"/>
    </row>
    <row r="114">
      <c r="E114" s="124"/>
    </row>
    <row r="115">
      <c r="E115" s="124"/>
    </row>
    <row r="116">
      <c r="E116" s="124"/>
    </row>
    <row r="117">
      <c r="E117" s="124"/>
    </row>
    <row r="118">
      <c r="E118" s="124"/>
    </row>
    <row r="119">
      <c r="E119" s="124"/>
    </row>
    <row r="120">
      <c r="E120" s="124"/>
    </row>
    <row r="121">
      <c r="E121" s="124"/>
    </row>
    <row r="122">
      <c r="E122" s="124"/>
    </row>
    <row r="123">
      <c r="E123" s="124"/>
    </row>
    <row r="124">
      <c r="E124" s="124"/>
    </row>
    <row r="125">
      <c r="E125" s="124"/>
    </row>
    <row r="126">
      <c r="E126" s="124"/>
    </row>
    <row r="127">
      <c r="E127" s="124"/>
    </row>
    <row r="128">
      <c r="E128" s="124"/>
    </row>
    <row r="129">
      <c r="E129" s="124"/>
    </row>
    <row r="130">
      <c r="E130" s="124"/>
    </row>
    <row r="131">
      <c r="E131" s="124"/>
    </row>
    <row r="132">
      <c r="E132" s="124"/>
    </row>
    <row r="133">
      <c r="E133" s="124"/>
    </row>
    <row r="134">
      <c r="E134" s="124"/>
    </row>
    <row r="135">
      <c r="E135" s="124"/>
    </row>
    <row r="136">
      <c r="E136" s="124"/>
    </row>
    <row r="137">
      <c r="E137" s="124"/>
    </row>
    <row r="138">
      <c r="E138" s="124"/>
    </row>
    <row r="139">
      <c r="E139" s="124"/>
    </row>
    <row r="140">
      <c r="E140" s="124"/>
    </row>
    <row r="141">
      <c r="E141" s="124"/>
    </row>
    <row r="142">
      <c r="E142" s="124"/>
    </row>
    <row r="143">
      <c r="E143" s="124"/>
    </row>
    <row r="144">
      <c r="E144" s="124"/>
    </row>
    <row r="145">
      <c r="E145" s="124"/>
    </row>
    <row r="146">
      <c r="E146" s="124"/>
    </row>
    <row r="147">
      <c r="E147" s="124"/>
    </row>
    <row r="148">
      <c r="E148" s="124"/>
    </row>
    <row r="149">
      <c r="E149" s="124"/>
    </row>
    <row r="150">
      <c r="E150" s="124"/>
    </row>
    <row r="151">
      <c r="E151" s="124"/>
    </row>
    <row r="152">
      <c r="E152" s="124"/>
    </row>
    <row r="153">
      <c r="E153" s="124"/>
    </row>
    <row r="154">
      <c r="E154" s="124"/>
    </row>
    <row r="155">
      <c r="E155" s="124"/>
    </row>
    <row r="156">
      <c r="E156" s="124"/>
    </row>
    <row r="157">
      <c r="E157" s="124"/>
    </row>
    <row r="158">
      <c r="E158" s="124"/>
    </row>
    <row r="159">
      <c r="E159" s="124"/>
    </row>
    <row r="160">
      <c r="E160" s="124"/>
    </row>
    <row r="161">
      <c r="E161" s="124"/>
    </row>
    <row r="162">
      <c r="E162" s="124"/>
    </row>
    <row r="163">
      <c r="E163" s="124"/>
    </row>
    <row r="164">
      <c r="E164" s="124"/>
    </row>
    <row r="165">
      <c r="E165" s="124"/>
    </row>
    <row r="166">
      <c r="E166" s="124"/>
    </row>
    <row r="167">
      <c r="E167" s="124"/>
    </row>
    <row r="168">
      <c r="E168" s="124"/>
    </row>
    <row r="169">
      <c r="E169" s="124"/>
    </row>
    <row r="170">
      <c r="E170" s="124"/>
    </row>
    <row r="171">
      <c r="E171" s="124"/>
    </row>
    <row r="172">
      <c r="E172" s="124"/>
    </row>
    <row r="173">
      <c r="E173" s="124"/>
    </row>
    <row r="174">
      <c r="E174" s="124"/>
    </row>
    <row r="175">
      <c r="E175" s="124"/>
    </row>
    <row r="176">
      <c r="E176" s="124"/>
    </row>
    <row r="177">
      <c r="E177" s="124"/>
    </row>
    <row r="178">
      <c r="E178" s="124"/>
    </row>
    <row r="179">
      <c r="E179" s="124"/>
    </row>
    <row r="180">
      <c r="E180" s="124"/>
    </row>
    <row r="181">
      <c r="E181" s="124"/>
    </row>
    <row r="182">
      <c r="E182" s="124"/>
    </row>
    <row r="183">
      <c r="E183" s="124"/>
    </row>
    <row r="184">
      <c r="E184" s="124"/>
    </row>
    <row r="185">
      <c r="E185" s="124"/>
    </row>
    <row r="186">
      <c r="E186" s="124"/>
    </row>
    <row r="187">
      <c r="E187" s="124"/>
    </row>
    <row r="188">
      <c r="E188" s="124"/>
    </row>
    <row r="189">
      <c r="E189" s="124"/>
    </row>
    <row r="190">
      <c r="E190" s="124"/>
    </row>
    <row r="191">
      <c r="E191" s="124"/>
    </row>
    <row r="192">
      <c r="E192" s="124"/>
    </row>
    <row r="193">
      <c r="E193" s="124"/>
    </row>
    <row r="194">
      <c r="E194" s="124"/>
    </row>
    <row r="195">
      <c r="E195" s="124"/>
    </row>
    <row r="196">
      <c r="E196" s="124"/>
    </row>
    <row r="197">
      <c r="E197" s="124"/>
    </row>
    <row r="198">
      <c r="E198" s="124"/>
    </row>
    <row r="199">
      <c r="E199" s="124"/>
    </row>
    <row r="200">
      <c r="E200" s="124"/>
    </row>
    <row r="201">
      <c r="E201" s="124"/>
    </row>
    <row r="202">
      <c r="E202" s="124"/>
    </row>
    <row r="203">
      <c r="E203" s="124"/>
    </row>
    <row r="204">
      <c r="E204" s="124"/>
    </row>
    <row r="205">
      <c r="E205" s="124"/>
    </row>
    <row r="206">
      <c r="E206" s="124"/>
    </row>
    <row r="207">
      <c r="E207" s="124"/>
    </row>
    <row r="208">
      <c r="E208" s="124"/>
    </row>
    <row r="209">
      <c r="E209" s="124"/>
    </row>
    <row r="210">
      <c r="E210" s="124"/>
    </row>
    <row r="211">
      <c r="E211" s="124"/>
    </row>
    <row r="212">
      <c r="E212" s="124"/>
    </row>
    <row r="213">
      <c r="E213" s="124"/>
    </row>
    <row r="214">
      <c r="E214" s="124"/>
    </row>
    <row r="215">
      <c r="E215" s="124"/>
    </row>
    <row r="216">
      <c r="E216" s="124"/>
    </row>
    <row r="217">
      <c r="E217" s="124"/>
    </row>
    <row r="218">
      <c r="E218" s="124"/>
    </row>
    <row r="219">
      <c r="E219" s="124"/>
    </row>
    <row r="220">
      <c r="E220" s="124"/>
    </row>
    <row r="221">
      <c r="E221" s="124"/>
    </row>
    <row r="222">
      <c r="E222" s="124"/>
    </row>
    <row r="223">
      <c r="E223" s="124"/>
    </row>
    <row r="224">
      <c r="E224" s="124"/>
    </row>
    <row r="225">
      <c r="E225" s="124"/>
    </row>
    <row r="226">
      <c r="E226" s="124"/>
    </row>
    <row r="227">
      <c r="E227" s="124"/>
    </row>
    <row r="228">
      <c r="E228" s="124"/>
    </row>
    <row r="229">
      <c r="E229" s="124"/>
    </row>
    <row r="230">
      <c r="E230" s="124"/>
    </row>
    <row r="231">
      <c r="E231" s="124"/>
    </row>
    <row r="232">
      <c r="E232" s="124"/>
    </row>
    <row r="233">
      <c r="E233" s="124"/>
    </row>
    <row r="234">
      <c r="E234" s="124"/>
    </row>
    <row r="235">
      <c r="E235" s="124"/>
    </row>
    <row r="236">
      <c r="E236" s="124"/>
    </row>
    <row r="237">
      <c r="E237" s="124"/>
    </row>
    <row r="238">
      <c r="E238" s="124"/>
    </row>
    <row r="239">
      <c r="E239" s="124"/>
    </row>
    <row r="240">
      <c r="E240" s="124"/>
    </row>
    <row r="241">
      <c r="E241" s="124"/>
    </row>
    <row r="242">
      <c r="E242" s="124"/>
    </row>
    <row r="243">
      <c r="E243" s="124"/>
    </row>
    <row r="244">
      <c r="E244" s="124"/>
    </row>
    <row r="245">
      <c r="E245" s="124"/>
    </row>
    <row r="246">
      <c r="E246" s="124"/>
    </row>
    <row r="247">
      <c r="E247" s="124"/>
    </row>
    <row r="248">
      <c r="E248" s="124"/>
    </row>
    <row r="249">
      <c r="E249" s="124"/>
    </row>
    <row r="250">
      <c r="E250" s="124"/>
    </row>
    <row r="251">
      <c r="E251" s="124"/>
    </row>
    <row r="252">
      <c r="E252" s="124"/>
    </row>
    <row r="253">
      <c r="E253" s="124"/>
    </row>
    <row r="254">
      <c r="E254" s="124"/>
    </row>
    <row r="255">
      <c r="E255" s="124"/>
    </row>
    <row r="256">
      <c r="E256" s="124"/>
    </row>
    <row r="257">
      <c r="E257" s="124"/>
    </row>
    <row r="258">
      <c r="E258" s="124"/>
    </row>
    <row r="259">
      <c r="E259" s="124"/>
    </row>
    <row r="260">
      <c r="E260" s="124"/>
    </row>
    <row r="261">
      <c r="E261" s="124"/>
    </row>
    <row r="262">
      <c r="E262" s="124"/>
    </row>
    <row r="263">
      <c r="E263" s="124"/>
    </row>
    <row r="264">
      <c r="E264" s="124"/>
    </row>
    <row r="265">
      <c r="E265" s="124"/>
    </row>
    <row r="266">
      <c r="E266" s="124"/>
    </row>
    <row r="267">
      <c r="E267" s="124"/>
    </row>
    <row r="268">
      <c r="E268" s="124"/>
    </row>
    <row r="269">
      <c r="E269" s="124"/>
    </row>
    <row r="270">
      <c r="E270" s="124"/>
    </row>
    <row r="271">
      <c r="E271" s="124"/>
    </row>
    <row r="272">
      <c r="E272" s="124"/>
    </row>
    <row r="273">
      <c r="E273" s="124"/>
    </row>
    <row r="274">
      <c r="E274" s="124"/>
    </row>
    <row r="275">
      <c r="E275" s="124"/>
    </row>
    <row r="276">
      <c r="E276" s="124"/>
    </row>
    <row r="277">
      <c r="E277" s="124"/>
    </row>
    <row r="278">
      <c r="E278" s="124"/>
    </row>
    <row r="279">
      <c r="E279" s="124"/>
    </row>
    <row r="280">
      <c r="E280" s="124"/>
    </row>
    <row r="281">
      <c r="E281" s="124"/>
    </row>
    <row r="282">
      <c r="E282" s="124"/>
    </row>
    <row r="283">
      <c r="E283" s="124"/>
    </row>
    <row r="284">
      <c r="E284" s="124"/>
    </row>
    <row r="285">
      <c r="E285" s="124"/>
    </row>
    <row r="286">
      <c r="E286" s="124"/>
    </row>
    <row r="287">
      <c r="E287" s="124"/>
    </row>
    <row r="288">
      <c r="E288" s="124"/>
    </row>
    <row r="289">
      <c r="E289" s="124"/>
    </row>
    <row r="290">
      <c r="E290" s="124"/>
    </row>
    <row r="291">
      <c r="E291" s="124"/>
    </row>
    <row r="292">
      <c r="E292" s="124"/>
    </row>
    <row r="293">
      <c r="E293" s="124"/>
    </row>
    <row r="294">
      <c r="E294" s="124"/>
    </row>
    <row r="295">
      <c r="E295" s="124"/>
    </row>
    <row r="296">
      <c r="E296" s="124"/>
    </row>
    <row r="297">
      <c r="E297" s="124"/>
    </row>
    <row r="298">
      <c r="E298" s="124"/>
    </row>
    <row r="299">
      <c r="E299" s="124"/>
    </row>
    <row r="300">
      <c r="E300" s="124"/>
    </row>
    <row r="301">
      <c r="E301" s="124"/>
    </row>
    <row r="302">
      <c r="E302" s="124"/>
    </row>
    <row r="303">
      <c r="E303" s="124"/>
    </row>
    <row r="304">
      <c r="E304" s="124"/>
    </row>
    <row r="305">
      <c r="E305" s="124"/>
    </row>
    <row r="306">
      <c r="E306" s="124"/>
    </row>
    <row r="307">
      <c r="E307" s="124"/>
    </row>
    <row r="308">
      <c r="E308" s="124"/>
    </row>
    <row r="309">
      <c r="E309" s="124"/>
    </row>
    <row r="310">
      <c r="E310" s="124"/>
    </row>
    <row r="311">
      <c r="E311" s="124"/>
    </row>
    <row r="312">
      <c r="E312" s="124"/>
    </row>
    <row r="313">
      <c r="E313" s="124"/>
    </row>
    <row r="314">
      <c r="E314" s="124"/>
    </row>
    <row r="315">
      <c r="E315" s="124"/>
    </row>
    <row r="316">
      <c r="E316" s="124"/>
    </row>
    <row r="317">
      <c r="E317" s="124"/>
    </row>
    <row r="318">
      <c r="E318" s="124"/>
    </row>
    <row r="319">
      <c r="E319" s="124"/>
    </row>
    <row r="320">
      <c r="E320" s="124"/>
    </row>
    <row r="321">
      <c r="E321" s="124"/>
    </row>
    <row r="322">
      <c r="E322" s="124"/>
    </row>
    <row r="323">
      <c r="E323" s="124"/>
    </row>
    <row r="324">
      <c r="E324" s="124"/>
    </row>
    <row r="325">
      <c r="E325" s="124"/>
    </row>
    <row r="326">
      <c r="E326" s="124"/>
    </row>
    <row r="327">
      <c r="E327" s="124"/>
    </row>
    <row r="328">
      <c r="E328" s="124"/>
    </row>
    <row r="329">
      <c r="E329" s="124"/>
    </row>
    <row r="330">
      <c r="E330" s="124"/>
    </row>
    <row r="331">
      <c r="E331" s="124"/>
    </row>
    <row r="332">
      <c r="E332" s="124"/>
    </row>
    <row r="333">
      <c r="E333" s="124"/>
    </row>
    <row r="334">
      <c r="E334" s="124"/>
    </row>
    <row r="335">
      <c r="E335" s="124"/>
    </row>
    <row r="336">
      <c r="E336" s="124"/>
    </row>
    <row r="337">
      <c r="E337" s="124"/>
    </row>
    <row r="338">
      <c r="E338" s="124"/>
    </row>
    <row r="339">
      <c r="E339" s="124"/>
    </row>
    <row r="340">
      <c r="E340" s="124"/>
    </row>
    <row r="341">
      <c r="E341" s="124"/>
    </row>
    <row r="342">
      <c r="E342" s="124"/>
    </row>
    <row r="343">
      <c r="E343" s="124"/>
    </row>
    <row r="344">
      <c r="E344" s="124"/>
    </row>
    <row r="345">
      <c r="E345" s="124"/>
    </row>
    <row r="346">
      <c r="E346" s="124"/>
    </row>
    <row r="347">
      <c r="E347" s="124"/>
    </row>
    <row r="348">
      <c r="E348" s="124"/>
    </row>
    <row r="349">
      <c r="E349" s="124"/>
    </row>
    <row r="350">
      <c r="E350" s="124"/>
    </row>
    <row r="351">
      <c r="E351" s="124"/>
    </row>
    <row r="352">
      <c r="E352" s="124"/>
    </row>
    <row r="353">
      <c r="E353" s="124"/>
    </row>
    <row r="354">
      <c r="E354" s="124"/>
    </row>
    <row r="355">
      <c r="E355" s="124"/>
    </row>
    <row r="356">
      <c r="E356" s="124"/>
    </row>
    <row r="357">
      <c r="E357" s="124"/>
    </row>
    <row r="358">
      <c r="E358" s="124"/>
    </row>
    <row r="359">
      <c r="E359" s="124"/>
    </row>
    <row r="360">
      <c r="E360" s="124"/>
    </row>
    <row r="361">
      <c r="E361" s="124"/>
    </row>
    <row r="362">
      <c r="E362" s="124"/>
    </row>
    <row r="363">
      <c r="E363" s="124"/>
    </row>
    <row r="364">
      <c r="E364" s="124"/>
    </row>
    <row r="365">
      <c r="E365" s="124"/>
    </row>
    <row r="366">
      <c r="E366" s="124"/>
    </row>
    <row r="367">
      <c r="E367" s="124"/>
    </row>
    <row r="368">
      <c r="E368" s="124"/>
    </row>
    <row r="369">
      <c r="E369" s="124"/>
    </row>
    <row r="370">
      <c r="E370" s="124"/>
    </row>
    <row r="371">
      <c r="E371" s="124"/>
    </row>
    <row r="372">
      <c r="E372" s="124"/>
    </row>
    <row r="373">
      <c r="E373" s="124"/>
    </row>
    <row r="374">
      <c r="E374" s="124"/>
    </row>
    <row r="375">
      <c r="E375" s="124"/>
    </row>
    <row r="376">
      <c r="E376" s="124"/>
    </row>
    <row r="377">
      <c r="E377" s="124"/>
    </row>
    <row r="378">
      <c r="E378" s="124"/>
    </row>
    <row r="379">
      <c r="E379" s="124"/>
    </row>
    <row r="380">
      <c r="E380" s="124"/>
    </row>
    <row r="381">
      <c r="E381" s="124"/>
    </row>
    <row r="382">
      <c r="E382" s="124"/>
    </row>
    <row r="383">
      <c r="E383" s="124"/>
    </row>
    <row r="384">
      <c r="E384" s="124"/>
    </row>
    <row r="385">
      <c r="E385" s="124"/>
    </row>
    <row r="386">
      <c r="E386" s="124"/>
    </row>
    <row r="387">
      <c r="E387" s="124"/>
    </row>
    <row r="388">
      <c r="E388" s="124"/>
    </row>
    <row r="389">
      <c r="E389" s="124"/>
    </row>
    <row r="390">
      <c r="E390" s="124"/>
    </row>
    <row r="391">
      <c r="E391" s="124"/>
    </row>
    <row r="392">
      <c r="E392" s="124"/>
    </row>
    <row r="393">
      <c r="E393" s="124"/>
    </row>
    <row r="394">
      <c r="E394" s="124"/>
    </row>
    <row r="395">
      <c r="E395" s="124"/>
    </row>
    <row r="396">
      <c r="E396" s="124"/>
    </row>
    <row r="397">
      <c r="E397" s="124"/>
    </row>
    <row r="398">
      <c r="E398" s="124"/>
    </row>
    <row r="399">
      <c r="E399" s="124"/>
    </row>
    <row r="400">
      <c r="E400" s="124"/>
    </row>
    <row r="401">
      <c r="E401" s="124"/>
    </row>
    <row r="402">
      <c r="E402" s="124"/>
    </row>
    <row r="403">
      <c r="E403" s="124"/>
    </row>
    <row r="404">
      <c r="E404" s="124"/>
    </row>
    <row r="405">
      <c r="E405" s="124"/>
    </row>
    <row r="406">
      <c r="E406" s="124"/>
    </row>
    <row r="407">
      <c r="E407" s="124"/>
    </row>
    <row r="408">
      <c r="E408" s="124"/>
    </row>
    <row r="409">
      <c r="E409" s="124"/>
    </row>
    <row r="410">
      <c r="E410" s="124"/>
    </row>
    <row r="411">
      <c r="E411" s="124"/>
    </row>
    <row r="412">
      <c r="E412" s="124"/>
    </row>
    <row r="413">
      <c r="E413" s="124"/>
    </row>
    <row r="414">
      <c r="E414" s="124"/>
    </row>
    <row r="415">
      <c r="E415" s="124"/>
    </row>
    <row r="416">
      <c r="E416" s="124"/>
    </row>
    <row r="417">
      <c r="E417" s="124"/>
    </row>
    <row r="418">
      <c r="E418" s="124"/>
    </row>
    <row r="419">
      <c r="E419" s="124"/>
    </row>
    <row r="420">
      <c r="E420" s="124"/>
    </row>
    <row r="421">
      <c r="E421" s="124"/>
    </row>
    <row r="422">
      <c r="E422" s="124"/>
    </row>
    <row r="423">
      <c r="E423" s="124"/>
    </row>
    <row r="424">
      <c r="E424" s="124"/>
    </row>
    <row r="425">
      <c r="E425" s="124"/>
    </row>
    <row r="426">
      <c r="E426" s="124"/>
    </row>
    <row r="427">
      <c r="E427" s="124"/>
    </row>
    <row r="428">
      <c r="E428" s="124"/>
    </row>
    <row r="429">
      <c r="E429" s="124"/>
    </row>
    <row r="430">
      <c r="E430" s="124"/>
    </row>
    <row r="431">
      <c r="E431" s="124"/>
    </row>
    <row r="432">
      <c r="E432" s="124"/>
    </row>
    <row r="433">
      <c r="E433" s="124"/>
    </row>
    <row r="434">
      <c r="E434" s="124"/>
    </row>
    <row r="435">
      <c r="E435" s="124"/>
    </row>
    <row r="436">
      <c r="E436" s="124"/>
    </row>
    <row r="437">
      <c r="E437" s="124"/>
    </row>
    <row r="438">
      <c r="E438" s="124"/>
    </row>
    <row r="439">
      <c r="E439" s="124"/>
    </row>
    <row r="440">
      <c r="E440" s="124"/>
    </row>
    <row r="441">
      <c r="E441" s="124"/>
    </row>
    <row r="442">
      <c r="E442" s="124"/>
    </row>
    <row r="443">
      <c r="E443" s="124"/>
    </row>
    <row r="444">
      <c r="E444" s="124"/>
    </row>
    <row r="445">
      <c r="E445" s="124"/>
    </row>
    <row r="446">
      <c r="E446" s="124"/>
    </row>
    <row r="447">
      <c r="E447" s="124"/>
    </row>
    <row r="448">
      <c r="E448" s="124"/>
    </row>
    <row r="449">
      <c r="E449" s="124"/>
    </row>
    <row r="450">
      <c r="E450" s="124"/>
    </row>
    <row r="451">
      <c r="E451" s="124"/>
    </row>
    <row r="452">
      <c r="E452" s="124"/>
    </row>
    <row r="453">
      <c r="E453" s="124"/>
    </row>
    <row r="454">
      <c r="E454" s="124"/>
    </row>
    <row r="455">
      <c r="E455" s="124"/>
    </row>
    <row r="456">
      <c r="E456" s="124"/>
    </row>
    <row r="457">
      <c r="E457" s="124"/>
    </row>
    <row r="458">
      <c r="E458" s="124"/>
    </row>
    <row r="459">
      <c r="E459" s="124"/>
    </row>
    <row r="460">
      <c r="E460" s="124"/>
    </row>
    <row r="461">
      <c r="E461" s="124"/>
    </row>
    <row r="462">
      <c r="E462" s="124"/>
    </row>
    <row r="463">
      <c r="E463" s="124"/>
    </row>
    <row r="464">
      <c r="E464" s="124"/>
    </row>
    <row r="465">
      <c r="E465" s="124"/>
    </row>
    <row r="466">
      <c r="E466" s="124"/>
    </row>
    <row r="467">
      <c r="E467" s="124"/>
    </row>
    <row r="468">
      <c r="E468" s="124"/>
    </row>
    <row r="469">
      <c r="E469" s="124"/>
    </row>
    <row r="470">
      <c r="E470" s="124"/>
    </row>
    <row r="471">
      <c r="E471" s="124"/>
    </row>
    <row r="472">
      <c r="E472" s="124"/>
    </row>
    <row r="473">
      <c r="E473" s="124"/>
    </row>
    <row r="474">
      <c r="E474" s="124"/>
    </row>
    <row r="475">
      <c r="E475" s="124"/>
    </row>
    <row r="476">
      <c r="E476" s="124"/>
    </row>
    <row r="477">
      <c r="E477" s="124"/>
    </row>
    <row r="478">
      <c r="E478" s="124"/>
    </row>
    <row r="479">
      <c r="E479" s="124"/>
    </row>
    <row r="480">
      <c r="E480" s="124"/>
    </row>
    <row r="481">
      <c r="E481" s="124"/>
    </row>
    <row r="482">
      <c r="E482" s="124"/>
    </row>
    <row r="483">
      <c r="E483" s="124"/>
    </row>
    <row r="484">
      <c r="E484" s="124"/>
    </row>
    <row r="485">
      <c r="E485" s="124"/>
    </row>
    <row r="486">
      <c r="E486" s="124"/>
    </row>
    <row r="487">
      <c r="E487" s="124"/>
    </row>
    <row r="488">
      <c r="E488" s="124"/>
    </row>
    <row r="489">
      <c r="E489" s="124"/>
    </row>
    <row r="490">
      <c r="E490" s="124"/>
    </row>
    <row r="491">
      <c r="E491" s="124"/>
    </row>
    <row r="492">
      <c r="E492" s="124"/>
    </row>
    <row r="493">
      <c r="E493" s="124"/>
    </row>
    <row r="494">
      <c r="E494" s="124"/>
    </row>
    <row r="495">
      <c r="E495" s="124"/>
    </row>
    <row r="496">
      <c r="E496" s="124"/>
    </row>
    <row r="497">
      <c r="E497" s="124"/>
    </row>
    <row r="498">
      <c r="E498" s="124"/>
    </row>
    <row r="499">
      <c r="E499" s="124"/>
    </row>
    <row r="500">
      <c r="E500" s="124"/>
    </row>
    <row r="501">
      <c r="E501" s="124"/>
    </row>
    <row r="502">
      <c r="E502" s="124"/>
    </row>
    <row r="503">
      <c r="E503" s="124"/>
    </row>
    <row r="504">
      <c r="E504" s="124"/>
    </row>
    <row r="505">
      <c r="E505" s="124"/>
    </row>
    <row r="506">
      <c r="E506" s="124"/>
    </row>
    <row r="507">
      <c r="E507" s="124"/>
    </row>
    <row r="508">
      <c r="E508" s="124"/>
    </row>
    <row r="509">
      <c r="E509" s="124"/>
    </row>
    <row r="510">
      <c r="E510" s="124"/>
    </row>
    <row r="511">
      <c r="E511" s="124"/>
    </row>
    <row r="512">
      <c r="E512" s="124"/>
    </row>
    <row r="513">
      <c r="E513" s="124"/>
    </row>
    <row r="514">
      <c r="E514" s="124"/>
    </row>
    <row r="515">
      <c r="E515" s="124"/>
    </row>
    <row r="516">
      <c r="E516" s="124"/>
    </row>
    <row r="517">
      <c r="E517" s="124"/>
    </row>
    <row r="518">
      <c r="E518" s="124"/>
    </row>
    <row r="519">
      <c r="E519" s="124"/>
    </row>
    <row r="520">
      <c r="E520" s="124"/>
    </row>
    <row r="521">
      <c r="E521" s="124"/>
    </row>
    <row r="522">
      <c r="E522" s="124"/>
    </row>
    <row r="523">
      <c r="E523" s="124"/>
    </row>
    <row r="524">
      <c r="E524" s="124"/>
    </row>
    <row r="525">
      <c r="E525" s="124"/>
    </row>
    <row r="526">
      <c r="E526" s="124"/>
    </row>
    <row r="527">
      <c r="E527" s="124"/>
    </row>
    <row r="528">
      <c r="E528" s="124"/>
    </row>
    <row r="529">
      <c r="E529" s="124"/>
    </row>
    <row r="530">
      <c r="E530" s="124"/>
    </row>
    <row r="531">
      <c r="E531" s="124"/>
    </row>
    <row r="532">
      <c r="E532" s="124"/>
    </row>
    <row r="533">
      <c r="E533" s="124"/>
    </row>
    <row r="534">
      <c r="E534" s="124"/>
    </row>
    <row r="535">
      <c r="E535" s="124"/>
    </row>
    <row r="536">
      <c r="E536" s="124"/>
    </row>
    <row r="537">
      <c r="E537" s="124"/>
    </row>
    <row r="538">
      <c r="E538" s="124"/>
    </row>
    <row r="539">
      <c r="E539" s="124"/>
    </row>
    <row r="540">
      <c r="E540" s="124"/>
    </row>
    <row r="541">
      <c r="E541" s="124"/>
    </row>
    <row r="542">
      <c r="E542" s="124"/>
    </row>
    <row r="543">
      <c r="E543" s="124"/>
    </row>
    <row r="544">
      <c r="E544" s="124"/>
    </row>
    <row r="545">
      <c r="E545" s="124"/>
    </row>
    <row r="546">
      <c r="E546" s="124"/>
    </row>
    <row r="547">
      <c r="E547" s="124"/>
    </row>
    <row r="548">
      <c r="E548" s="124"/>
    </row>
    <row r="549">
      <c r="E549" s="124"/>
    </row>
    <row r="550">
      <c r="E550" s="124"/>
    </row>
    <row r="551">
      <c r="E551" s="124"/>
    </row>
    <row r="552">
      <c r="E552" s="124"/>
    </row>
    <row r="553">
      <c r="E553" s="124"/>
    </row>
    <row r="554">
      <c r="E554" s="124"/>
    </row>
    <row r="555">
      <c r="E555" s="124"/>
    </row>
    <row r="556">
      <c r="E556" s="124"/>
    </row>
    <row r="557">
      <c r="E557" s="124"/>
    </row>
    <row r="558">
      <c r="E558" s="124"/>
    </row>
    <row r="559">
      <c r="E559" s="124"/>
    </row>
    <row r="560">
      <c r="E560" s="124"/>
    </row>
    <row r="561">
      <c r="E561" s="124"/>
    </row>
    <row r="562">
      <c r="E562" s="124"/>
    </row>
    <row r="563">
      <c r="E563" s="124"/>
    </row>
    <row r="564">
      <c r="E564" s="124"/>
    </row>
    <row r="565">
      <c r="E565" s="124"/>
    </row>
    <row r="566">
      <c r="E566" s="124"/>
    </row>
    <row r="567">
      <c r="E567" s="124"/>
    </row>
    <row r="568">
      <c r="E568" s="124"/>
    </row>
    <row r="569">
      <c r="E569" s="124"/>
    </row>
    <row r="570">
      <c r="E570" s="124"/>
    </row>
    <row r="571">
      <c r="E571" s="124"/>
    </row>
    <row r="572">
      <c r="E572" s="124"/>
    </row>
    <row r="573">
      <c r="E573" s="124"/>
    </row>
    <row r="574">
      <c r="E574" s="124"/>
    </row>
    <row r="575">
      <c r="E575" s="124"/>
    </row>
    <row r="576">
      <c r="E576" s="124"/>
    </row>
    <row r="577">
      <c r="E577" s="124"/>
    </row>
    <row r="578">
      <c r="E578" s="124"/>
    </row>
    <row r="579">
      <c r="E579" s="124"/>
    </row>
    <row r="580">
      <c r="E580" s="124"/>
    </row>
    <row r="581">
      <c r="E581" s="124"/>
    </row>
    <row r="582">
      <c r="E582" s="124"/>
    </row>
    <row r="583">
      <c r="E583" s="124"/>
    </row>
    <row r="584">
      <c r="E584" s="124"/>
    </row>
    <row r="585">
      <c r="E585" s="124"/>
    </row>
    <row r="586">
      <c r="E586" s="124"/>
    </row>
    <row r="587">
      <c r="E587" s="124"/>
    </row>
    <row r="588">
      <c r="E588" s="124"/>
    </row>
    <row r="589">
      <c r="E589" s="124"/>
    </row>
    <row r="590">
      <c r="E590" s="124"/>
    </row>
    <row r="591">
      <c r="E591" s="124"/>
    </row>
    <row r="592">
      <c r="E592" s="124"/>
    </row>
    <row r="593">
      <c r="E593" s="124"/>
    </row>
    <row r="594">
      <c r="E594" s="124"/>
    </row>
    <row r="595">
      <c r="E595" s="124"/>
    </row>
    <row r="596">
      <c r="E596" s="124"/>
    </row>
    <row r="597">
      <c r="E597" s="124"/>
    </row>
    <row r="598">
      <c r="E598" s="124"/>
    </row>
    <row r="599">
      <c r="E599" s="124"/>
    </row>
    <row r="600">
      <c r="E600" s="124"/>
    </row>
    <row r="601">
      <c r="E601" s="124"/>
    </row>
    <row r="602">
      <c r="E602" s="124"/>
    </row>
    <row r="603">
      <c r="E603" s="124"/>
    </row>
    <row r="604">
      <c r="E604" s="124"/>
    </row>
    <row r="605">
      <c r="E605" s="124"/>
    </row>
    <row r="606">
      <c r="E606" s="124"/>
    </row>
    <row r="607">
      <c r="E607" s="124"/>
    </row>
    <row r="608">
      <c r="E608" s="124"/>
    </row>
    <row r="609">
      <c r="E609" s="124"/>
    </row>
    <row r="610">
      <c r="E610" s="124"/>
    </row>
    <row r="611">
      <c r="E611" s="124"/>
    </row>
    <row r="612">
      <c r="E612" s="124"/>
    </row>
    <row r="613">
      <c r="E613" s="124"/>
    </row>
    <row r="614">
      <c r="E614" s="124"/>
    </row>
    <row r="615">
      <c r="E615" s="124"/>
    </row>
    <row r="616">
      <c r="E616" s="124"/>
    </row>
    <row r="617">
      <c r="E617" s="124"/>
    </row>
    <row r="618">
      <c r="E618" s="124"/>
    </row>
    <row r="619">
      <c r="E619" s="124"/>
    </row>
    <row r="620">
      <c r="E620" s="124"/>
    </row>
    <row r="621">
      <c r="E621" s="124"/>
    </row>
    <row r="622">
      <c r="E622" s="124"/>
    </row>
    <row r="623">
      <c r="E623" s="124"/>
    </row>
    <row r="624">
      <c r="E624" s="124"/>
    </row>
    <row r="625">
      <c r="E625" s="124"/>
    </row>
    <row r="626">
      <c r="E626" s="124"/>
    </row>
    <row r="627">
      <c r="E627" s="124"/>
    </row>
    <row r="628">
      <c r="E628" s="124"/>
    </row>
    <row r="629">
      <c r="E629" s="124"/>
    </row>
    <row r="630">
      <c r="E630" s="124"/>
    </row>
    <row r="631">
      <c r="E631" s="124"/>
    </row>
    <row r="632">
      <c r="E632" s="124"/>
    </row>
    <row r="633">
      <c r="E633" s="124"/>
    </row>
    <row r="634">
      <c r="E634" s="124"/>
    </row>
    <row r="635">
      <c r="E635" s="124"/>
    </row>
    <row r="636">
      <c r="E636" s="124"/>
    </row>
    <row r="637">
      <c r="E637" s="124"/>
    </row>
    <row r="638">
      <c r="E638" s="124"/>
    </row>
    <row r="639">
      <c r="E639" s="124"/>
    </row>
    <row r="640">
      <c r="E640" s="124"/>
    </row>
    <row r="641">
      <c r="E641" s="124"/>
    </row>
    <row r="642">
      <c r="E642" s="124"/>
    </row>
    <row r="643">
      <c r="E643" s="124"/>
    </row>
    <row r="644">
      <c r="E644" s="124"/>
    </row>
    <row r="645">
      <c r="E645" s="124"/>
    </row>
    <row r="646">
      <c r="E646" s="124"/>
    </row>
    <row r="647">
      <c r="E647" s="124"/>
    </row>
    <row r="648">
      <c r="E648" s="124"/>
    </row>
    <row r="649">
      <c r="E649" s="124"/>
    </row>
    <row r="650">
      <c r="E650" s="124"/>
    </row>
    <row r="651">
      <c r="E651" s="124"/>
    </row>
    <row r="652">
      <c r="E652" s="124"/>
    </row>
    <row r="653">
      <c r="E653" s="124"/>
    </row>
    <row r="654">
      <c r="E654" s="124"/>
    </row>
    <row r="655">
      <c r="E655" s="124"/>
    </row>
    <row r="656">
      <c r="E656" s="124"/>
    </row>
    <row r="657">
      <c r="E657" s="124"/>
    </row>
    <row r="658">
      <c r="E658" s="124"/>
    </row>
    <row r="659">
      <c r="E659" s="124"/>
    </row>
    <row r="660">
      <c r="E660" s="124"/>
    </row>
    <row r="661">
      <c r="E661" s="124"/>
    </row>
    <row r="662">
      <c r="E662" s="124"/>
    </row>
    <row r="663">
      <c r="E663" s="124"/>
    </row>
    <row r="664">
      <c r="E664" s="124"/>
    </row>
    <row r="665">
      <c r="E665" s="124"/>
    </row>
    <row r="666">
      <c r="E666" s="124"/>
    </row>
    <row r="667">
      <c r="E667" s="124"/>
    </row>
    <row r="668">
      <c r="E668" s="124"/>
    </row>
    <row r="669">
      <c r="E669" s="124"/>
    </row>
    <row r="670">
      <c r="E670" s="124"/>
    </row>
    <row r="671">
      <c r="E671" s="124"/>
    </row>
    <row r="672">
      <c r="E672" s="124"/>
    </row>
    <row r="673">
      <c r="E673" s="124"/>
    </row>
    <row r="674">
      <c r="E674" s="124"/>
    </row>
    <row r="675">
      <c r="E675" s="124"/>
    </row>
    <row r="676">
      <c r="E676" s="124"/>
    </row>
    <row r="677">
      <c r="E677" s="124"/>
    </row>
    <row r="678">
      <c r="E678" s="124"/>
    </row>
    <row r="679">
      <c r="E679" s="124"/>
    </row>
    <row r="680">
      <c r="E680" s="124"/>
    </row>
    <row r="681">
      <c r="E681" s="124"/>
    </row>
    <row r="682">
      <c r="E682" s="124"/>
    </row>
    <row r="683">
      <c r="E683" s="124"/>
    </row>
    <row r="684">
      <c r="E684" s="124"/>
    </row>
    <row r="685">
      <c r="E685" s="124"/>
    </row>
    <row r="686">
      <c r="E686" s="124"/>
    </row>
    <row r="687">
      <c r="E687" s="124"/>
    </row>
    <row r="688">
      <c r="E688" s="124"/>
    </row>
    <row r="689">
      <c r="E689" s="124"/>
    </row>
    <row r="690">
      <c r="E690" s="124"/>
    </row>
    <row r="691">
      <c r="E691" s="124"/>
    </row>
    <row r="692">
      <c r="E692" s="124"/>
    </row>
    <row r="693">
      <c r="E693" s="124"/>
    </row>
    <row r="694">
      <c r="E694" s="124"/>
    </row>
    <row r="695">
      <c r="E695" s="124"/>
    </row>
    <row r="696">
      <c r="E696" s="124"/>
    </row>
    <row r="697">
      <c r="E697" s="124"/>
    </row>
    <row r="698">
      <c r="E698" s="124"/>
    </row>
    <row r="699">
      <c r="E699" s="124"/>
    </row>
    <row r="700">
      <c r="E700" s="124"/>
    </row>
    <row r="701">
      <c r="E701" s="124"/>
    </row>
    <row r="702">
      <c r="E702" s="124"/>
    </row>
    <row r="703">
      <c r="E703" s="124"/>
    </row>
    <row r="704">
      <c r="E704" s="124"/>
    </row>
    <row r="705">
      <c r="E705" s="124"/>
    </row>
    <row r="706">
      <c r="E706" s="124"/>
    </row>
    <row r="707">
      <c r="E707" s="124"/>
    </row>
    <row r="708">
      <c r="E708" s="124"/>
    </row>
    <row r="709">
      <c r="E709" s="124"/>
    </row>
    <row r="710">
      <c r="E710" s="124"/>
    </row>
    <row r="711">
      <c r="E711" s="124"/>
    </row>
    <row r="712">
      <c r="E712" s="124"/>
    </row>
    <row r="713">
      <c r="E713" s="124"/>
    </row>
    <row r="714">
      <c r="E714" s="124"/>
    </row>
    <row r="715">
      <c r="E715" s="124"/>
    </row>
    <row r="716">
      <c r="E716" s="124"/>
    </row>
    <row r="717">
      <c r="E717" s="124"/>
    </row>
    <row r="718">
      <c r="E718" s="124"/>
    </row>
    <row r="719">
      <c r="E719" s="124"/>
    </row>
    <row r="720">
      <c r="E720" s="124"/>
    </row>
    <row r="721">
      <c r="E721" s="124"/>
    </row>
    <row r="722">
      <c r="E722" s="124"/>
    </row>
    <row r="723">
      <c r="E723" s="124"/>
    </row>
    <row r="724">
      <c r="E724" s="124"/>
    </row>
    <row r="725">
      <c r="E725" s="124"/>
    </row>
    <row r="726">
      <c r="E726" s="124"/>
    </row>
    <row r="727">
      <c r="E727" s="124"/>
    </row>
    <row r="728">
      <c r="E728" s="124"/>
    </row>
    <row r="729">
      <c r="E729" s="124"/>
    </row>
    <row r="730">
      <c r="E730" s="124"/>
    </row>
    <row r="731">
      <c r="E731" s="124"/>
    </row>
    <row r="732">
      <c r="E732" s="124"/>
    </row>
    <row r="733">
      <c r="E733" s="124"/>
    </row>
    <row r="734">
      <c r="E734" s="124"/>
    </row>
    <row r="735">
      <c r="E735" s="124"/>
    </row>
    <row r="736">
      <c r="E736" s="124"/>
    </row>
    <row r="737">
      <c r="E737" s="124"/>
    </row>
    <row r="738">
      <c r="E738" s="124"/>
    </row>
    <row r="739">
      <c r="E739" s="124"/>
    </row>
    <row r="740">
      <c r="E740" s="124"/>
    </row>
    <row r="741">
      <c r="E741" s="124"/>
    </row>
    <row r="742">
      <c r="E742" s="124"/>
    </row>
    <row r="743">
      <c r="E743" s="124"/>
    </row>
    <row r="744">
      <c r="E744" s="124"/>
    </row>
    <row r="745">
      <c r="E745" s="124"/>
    </row>
    <row r="746">
      <c r="E746" s="124"/>
    </row>
    <row r="747">
      <c r="E747" s="124"/>
    </row>
    <row r="748">
      <c r="E748" s="124"/>
    </row>
    <row r="749">
      <c r="E749" s="124"/>
    </row>
    <row r="750">
      <c r="E750" s="124"/>
    </row>
    <row r="751">
      <c r="E751" s="124"/>
    </row>
    <row r="752">
      <c r="E752" s="124"/>
    </row>
    <row r="753">
      <c r="E753" s="124"/>
    </row>
    <row r="754">
      <c r="E754" s="124"/>
    </row>
    <row r="755">
      <c r="E755" s="124"/>
    </row>
    <row r="756">
      <c r="E756" s="124"/>
    </row>
    <row r="757">
      <c r="E757" s="124"/>
    </row>
    <row r="758">
      <c r="E758" s="124"/>
    </row>
    <row r="759">
      <c r="E759" s="124"/>
    </row>
    <row r="760">
      <c r="E760" s="124"/>
    </row>
    <row r="761">
      <c r="E761" s="124"/>
    </row>
    <row r="762">
      <c r="E762" s="124"/>
    </row>
    <row r="763">
      <c r="E763" s="124"/>
    </row>
    <row r="764">
      <c r="E764" s="124"/>
    </row>
    <row r="765">
      <c r="E765" s="124"/>
    </row>
    <row r="766">
      <c r="E766" s="124"/>
    </row>
    <row r="767">
      <c r="E767" s="124"/>
    </row>
    <row r="768">
      <c r="E768" s="124"/>
    </row>
    <row r="769">
      <c r="E769" s="124"/>
    </row>
    <row r="770">
      <c r="E770" s="124"/>
    </row>
    <row r="771">
      <c r="E771" s="124"/>
    </row>
    <row r="772">
      <c r="E772" s="124"/>
    </row>
    <row r="773">
      <c r="E773" s="124"/>
    </row>
    <row r="774">
      <c r="E774" s="124"/>
    </row>
    <row r="775">
      <c r="E775" s="124"/>
    </row>
    <row r="776">
      <c r="E776" s="124"/>
    </row>
    <row r="777">
      <c r="E777" s="124"/>
    </row>
    <row r="778">
      <c r="E778" s="124"/>
    </row>
    <row r="779">
      <c r="E779" s="124"/>
    </row>
    <row r="780">
      <c r="E780" s="124"/>
    </row>
    <row r="781">
      <c r="E781" s="124"/>
    </row>
    <row r="782">
      <c r="E782" s="124"/>
    </row>
    <row r="783">
      <c r="E783" s="124"/>
    </row>
    <row r="784">
      <c r="E784" s="124"/>
    </row>
    <row r="785">
      <c r="E785" s="124"/>
    </row>
    <row r="786">
      <c r="E786" s="124"/>
    </row>
    <row r="787">
      <c r="E787" s="124"/>
    </row>
    <row r="788">
      <c r="E788" s="124"/>
    </row>
    <row r="789">
      <c r="E789" s="124"/>
    </row>
    <row r="790">
      <c r="E790" s="124"/>
    </row>
    <row r="791">
      <c r="E791" s="124"/>
    </row>
    <row r="792">
      <c r="E792" s="124"/>
    </row>
    <row r="793">
      <c r="E793" s="124"/>
    </row>
    <row r="794">
      <c r="E794" s="124"/>
    </row>
    <row r="795">
      <c r="E795" s="124"/>
    </row>
    <row r="796">
      <c r="E796" s="124"/>
    </row>
    <row r="797">
      <c r="E797" s="124"/>
    </row>
    <row r="798">
      <c r="E798" s="124"/>
    </row>
    <row r="799">
      <c r="E799" s="124"/>
    </row>
    <row r="800">
      <c r="E800" s="124"/>
    </row>
    <row r="801">
      <c r="E801" s="124"/>
    </row>
    <row r="802">
      <c r="E802" s="124"/>
    </row>
    <row r="803">
      <c r="E803" s="124"/>
    </row>
    <row r="804">
      <c r="E804" s="124"/>
    </row>
    <row r="805">
      <c r="E805" s="124"/>
    </row>
    <row r="806">
      <c r="E806" s="124"/>
    </row>
    <row r="807">
      <c r="E807" s="124"/>
    </row>
    <row r="808">
      <c r="E808" s="124"/>
    </row>
    <row r="809">
      <c r="E809" s="124"/>
    </row>
    <row r="810">
      <c r="E810" s="124"/>
    </row>
    <row r="811">
      <c r="E811" s="124"/>
    </row>
    <row r="812">
      <c r="E812" s="124"/>
    </row>
    <row r="813">
      <c r="E813" s="124"/>
    </row>
    <row r="814">
      <c r="E814" s="124"/>
    </row>
    <row r="815">
      <c r="E815" s="124"/>
    </row>
    <row r="816">
      <c r="E816" s="124"/>
    </row>
    <row r="817">
      <c r="E817" s="124"/>
    </row>
    <row r="818">
      <c r="E818" s="124"/>
    </row>
    <row r="819">
      <c r="E819" s="124"/>
    </row>
    <row r="820">
      <c r="E820" s="124"/>
    </row>
    <row r="821">
      <c r="E821" s="124"/>
    </row>
    <row r="822">
      <c r="E822" s="124"/>
    </row>
    <row r="823">
      <c r="E823" s="124"/>
    </row>
    <row r="824">
      <c r="E824" s="124"/>
    </row>
    <row r="825">
      <c r="E825" s="124"/>
    </row>
    <row r="826">
      <c r="E826" s="124"/>
    </row>
    <row r="827">
      <c r="E827" s="124"/>
    </row>
    <row r="828">
      <c r="E828" s="124"/>
    </row>
    <row r="829">
      <c r="E829" s="124"/>
    </row>
    <row r="830">
      <c r="E830" s="124"/>
    </row>
    <row r="831">
      <c r="E831" s="124"/>
    </row>
    <row r="832">
      <c r="E832" s="124"/>
    </row>
    <row r="833">
      <c r="E833" s="124"/>
    </row>
    <row r="834">
      <c r="E834" s="124"/>
    </row>
    <row r="835">
      <c r="E835" s="124"/>
    </row>
    <row r="836">
      <c r="E836" s="124"/>
    </row>
    <row r="837">
      <c r="E837" s="124"/>
    </row>
    <row r="838">
      <c r="E838" s="124"/>
    </row>
    <row r="839">
      <c r="E839" s="124"/>
    </row>
    <row r="840">
      <c r="E840" s="124"/>
    </row>
    <row r="841">
      <c r="E841" s="124"/>
    </row>
    <row r="842">
      <c r="E842" s="124"/>
    </row>
    <row r="843">
      <c r="E843" s="124"/>
    </row>
    <row r="844">
      <c r="E844" s="124"/>
    </row>
    <row r="845">
      <c r="E845" s="124"/>
    </row>
    <row r="846">
      <c r="E846" s="124"/>
    </row>
    <row r="847">
      <c r="E847" s="124"/>
    </row>
    <row r="848">
      <c r="E848" s="124"/>
    </row>
    <row r="849">
      <c r="E849" s="124"/>
    </row>
    <row r="850">
      <c r="E850" s="124"/>
    </row>
    <row r="851">
      <c r="E851" s="124"/>
    </row>
    <row r="852">
      <c r="E852" s="124"/>
    </row>
    <row r="853">
      <c r="E853" s="124"/>
    </row>
    <row r="854">
      <c r="E854" s="124"/>
    </row>
    <row r="855">
      <c r="E855" s="124"/>
    </row>
    <row r="856">
      <c r="E856" s="124"/>
    </row>
    <row r="857">
      <c r="E857" s="124"/>
    </row>
    <row r="858">
      <c r="E858" s="124"/>
    </row>
    <row r="859">
      <c r="E859" s="124"/>
    </row>
    <row r="860">
      <c r="E860" s="124"/>
    </row>
    <row r="861">
      <c r="E861" s="124"/>
    </row>
    <row r="862">
      <c r="E862" s="124"/>
    </row>
    <row r="863">
      <c r="E863" s="124"/>
    </row>
    <row r="864">
      <c r="E864" s="124"/>
    </row>
    <row r="865">
      <c r="E865" s="124"/>
    </row>
    <row r="866">
      <c r="E866" s="124"/>
    </row>
    <row r="867">
      <c r="E867" s="124"/>
    </row>
    <row r="868">
      <c r="E868" s="124"/>
    </row>
    <row r="869">
      <c r="E869" s="124"/>
    </row>
    <row r="870">
      <c r="E870" s="124"/>
    </row>
    <row r="871">
      <c r="E871" s="124"/>
    </row>
    <row r="872">
      <c r="E872" s="124"/>
    </row>
    <row r="873">
      <c r="E873" s="124"/>
    </row>
    <row r="874">
      <c r="E874" s="124"/>
    </row>
    <row r="875">
      <c r="E875" s="124"/>
    </row>
    <row r="876">
      <c r="E876" s="124"/>
    </row>
    <row r="877">
      <c r="E877" s="124"/>
    </row>
    <row r="878">
      <c r="E878" s="124"/>
    </row>
    <row r="879">
      <c r="E879" s="124"/>
    </row>
    <row r="880">
      <c r="E880" s="124"/>
    </row>
    <row r="881">
      <c r="E881" s="124"/>
    </row>
    <row r="882">
      <c r="E882" s="124"/>
    </row>
    <row r="883">
      <c r="E883" s="124"/>
    </row>
    <row r="884">
      <c r="E884" s="124"/>
    </row>
    <row r="885">
      <c r="E885" s="124"/>
    </row>
    <row r="886">
      <c r="E886" s="124"/>
    </row>
    <row r="887">
      <c r="E887" s="124"/>
    </row>
    <row r="888">
      <c r="E888" s="124"/>
    </row>
    <row r="889">
      <c r="E889" s="124"/>
    </row>
    <row r="890">
      <c r="E890" s="124"/>
    </row>
    <row r="891">
      <c r="E891" s="124"/>
    </row>
    <row r="892">
      <c r="E892" s="124"/>
    </row>
    <row r="893">
      <c r="E893" s="124"/>
    </row>
    <row r="894">
      <c r="E894" s="124"/>
    </row>
    <row r="895">
      <c r="E895" s="124"/>
    </row>
    <row r="896">
      <c r="E896" s="124"/>
    </row>
    <row r="897">
      <c r="E897" s="124"/>
    </row>
    <row r="898">
      <c r="E898" s="124"/>
    </row>
    <row r="899">
      <c r="E899" s="124"/>
    </row>
    <row r="900">
      <c r="E900" s="124"/>
    </row>
    <row r="901">
      <c r="E901" s="124"/>
    </row>
    <row r="902">
      <c r="E902" s="124"/>
    </row>
    <row r="903">
      <c r="E903" s="124"/>
    </row>
    <row r="904">
      <c r="E904" s="124"/>
    </row>
    <row r="905">
      <c r="E905" s="124"/>
    </row>
    <row r="906">
      <c r="E906" s="124"/>
    </row>
    <row r="907">
      <c r="E907" s="124"/>
    </row>
    <row r="908">
      <c r="E908" s="124"/>
    </row>
    <row r="909">
      <c r="E909" s="124"/>
    </row>
    <row r="910">
      <c r="E910" s="124"/>
    </row>
    <row r="911">
      <c r="E911" s="124"/>
    </row>
    <row r="912">
      <c r="E912" s="124"/>
    </row>
    <row r="913">
      <c r="E913" s="124"/>
    </row>
    <row r="914">
      <c r="E914" s="124"/>
    </row>
    <row r="915">
      <c r="E915" s="124"/>
    </row>
    <row r="916">
      <c r="E916" s="124"/>
    </row>
    <row r="917">
      <c r="E917" s="124"/>
    </row>
    <row r="918">
      <c r="E918" s="124"/>
    </row>
    <row r="919">
      <c r="E919" s="124"/>
    </row>
    <row r="920">
      <c r="E920" s="124"/>
    </row>
    <row r="921">
      <c r="E921" s="124"/>
    </row>
    <row r="922">
      <c r="E922" s="124"/>
    </row>
    <row r="923">
      <c r="E923" s="124"/>
    </row>
    <row r="924">
      <c r="E924" s="124"/>
    </row>
    <row r="925">
      <c r="E925" s="124"/>
    </row>
    <row r="926">
      <c r="E926" s="124"/>
    </row>
    <row r="927">
      <c r="E927" s="124"/>
    </row>
    <row r="928">
      <c r="E928" s="124"/>
    </row>
    <row r="929">
      <c r="E929" s="124"/>
    </row>
    <row r="930">
      <c r="E930" s="124"/>
    </row>
    <row r="931">
      <c r="E931" s="124"/>
    </row>
    <row r="932">
      <c r="E932" s="124"/>
    </row>
    <row r="933">
      <c r="E933" s="124"/>
    </row>
    <row r="934">
      <c r="E934" s="124"/>
    </row>
    <row r="935">
      <c r="E935" s="124"/>
    </row>
    <row r="936">
      <c r="E936" s="124"/>
    </row>
    <row r="937">
      <c r="E937" s="124"/>
    </row>
    <row r="938">
      <c r="E938" s="124"/>
    </row>
    <row r="939">
      <c r="E939" s="124"/>
    </row>
    <row r="940">
      <c r="E940" s="124"/>
    </row>
    <row r="941">
      <c r="E941" s="124"/>
    </row>
    <row r="942">
      <c r="E942" s="124"/>
    </row>
    <row r="943">
      <c r="E943" s="124"/>
    </row>
    <row r="944">
      <c r="E944" s="124"/>
    </row>
    <row r="945">
      <c r="E945" s="124"/>
    </row>
    <row r="946">
      <c r="E946" s="124"/>
    </row>
    <row r="947">
      <c r="E947" s="124"/>
    </row>
    <row r="948">
      <c r="E948" s="124"/>
    </row>
    <row r="949">
      <c r="E949" s="124"/>
    </row>
    <row r="950">
      <c r="E950" s="124"/>
    </row>
    <row r="951">
      <c r="E951" s="124"/>
    </row>
    <row r="952">
      <c r="E952" s="124"/>
    </row>
    <row r="953">
      <c r="E953" s="124"/>
    </row>
    <row r="954">
      <c r="E954" s="124"/>
    </row>
    <row r="955">
      <c r="E955" s="124"/>
    </row>
    <row r="956">
      <c r="E956" s="124"/>
    </row>
    <row r="957">
      <c r="E957" s="124"/>
    </row>
    <row r="958">
      <c r="E958" s="124"/>
    </row>
    <row r="959">
      <c r="E959" s="124"/>
    </row>
    <row r="960">
      <c r="E960" s="124"/>
    </row>
    <row r="961">
      <c r="E961" s="124"/>
    </row>
    <row r="962">
      <c r="E962" s="124"/>
    </row>
    <row r="963">
      <c r="E963" s="124"/>
    </row>
    <row r="964">
      <c r="E964" s="124"/>
    </row>
    <row r="965">
      <c r="E965" s="124"/>
    </row>
    <row r="966">
      <c r="E966" s="124"/>
    </row>
    <row r="967">
      <c r="E967" s="124"/>
    </row>
    <row r="968">
      <c r="E968" s="124"/>
    </row>
    <row r="969">
      <c r="E969" s="124"/>
    </row>
    <row r="970">
      <c r="E970" s="124"/>
    </row>
    <row r="971">
      <c r="E971" s="124"/>
    </row>
    <row r="972">
      <c r="E972" s="124"/>
    </row>
    <row r="973">
      <c r="E973" s="124"/>
    </row>
    <row r="974">
      <c r="E974" s="124"/>
    </row>
    <row r="975">
      <c r="E975" s="124"/>
    </row>
    <row r="976">
      <c r="E976" s="124"/>
    </row>
    <row r="977">
      <c r="E977" s="124"/>
    </row>
    <row r="978">
      <c r="E978" s="124"/>
    </row>
    <row r="979">
      <c r="E979" s="124"/>
    </row>
    <row r="980">
      <c r="E980" s="124"/>
    </row>
    <row r="981">
      <c r="E981" s="124"/>
    </row>
    <row r="982">
      <c r="E982" s="124"/>
    </row>
    <row r="983">
      <c r="E983" s="124"/>
    </row>
    <row r="984">
      <c r="E984" s="124"/>
    </row>
    <row r="985">
      <c r="E985" s="124"/>
    </row>
    <row r="986">
      <c r="E986" s="124"/>
    </row>
  </sheetData>
  <autoFilter ref="$A$4:$N$51">
    <sortState ref="A4:N51">
      <sortCondition descending="1" ref="N4:N51"/>
    </sortState>
  </autoFilter>
  <mergeCells count="2">
    <mergeCell ref="F3:H3"/>
    <mergeCell ref="I3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1">
      <c r="A1" s="122" t="s">
        <v>228</v>
      </c>
    </row>
    <row r="2">
      <c r="A2" s="1"/>
    </row>
    <row r="3">
      <c r="A3" s="2"/>
      <c r="B3" s="3"/>
      <c r="C3" s="3"/>
      <c r="D3" s="3"/>
      <c r="E3" s="8" t="s">
        <v>218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394</v>
      </c>
      <c r="C5" s="23" t="s">
        <v>32</v>
      </c>
      <c r="D5" s="23" t="s">
        <v>27</v>
      </c>
      <c r="E5" s="123">
        <v>646.0</v>
      </c>
      <c r="F5" s="28">
        <v>1.0</v>
      </c>
      <c r="G5" s="28">
        <v>70.0</v>
      </c>
      <c r="H5" s="29"/>
      <c r="I5" s="105"/>
      <c r="J5" s="105"/>
      <c r="K5" s="61">
        <f t="shared" ref="K5:K62" si="1">(H5+E5)/4</f>
        <v>161.5</v>
      </c>
      <c r="L5" s="61">
        <f t="shared" ref="L5:L62" si="2">J5+G5</f>
        <v>70</v>
      </c>
      <c r="M5" s="61">
        <f t="shared" ref="M5:M62" si="3">K5+L5</f>
        <v>231.5</v>
      </c>
    </row>
    <row r="6">
      <c r="A6" s="61"/>
      <c r="B6" s="23" t="s">
        <v>331</v>
      </c>
      <c r="C6" s="23" t="s">
        <v>222</v>
      </c>
      <c r="D6" s="23" t="s">
        <v>29</v>
      </c>
      <c r="E6" s="28">
        <v>660.0</v>
      </c>
      <c r="F6" s="28">
        <v>2.0</v>
      </c>
      <c r="G6" s="28">
        <v>60.0</v>
      </c>
      <c r="H6" s="29"/>
      <c r="I6" s="45"/>
      <c r="J6" s="45"/>
      <c r="K6" s="61">
        <f t="shared" si="1"/>
        <v>165</v>
      </c>
      <c r="L6" s="61">
        <f t="shared" si="2"/>
        <v>60</v>
      </c>
      <c r="M6" s="61">
        <f t="shared" si="3"/>
        <v>225</v>
      </c>
    </row>
    <row r="7">
      <c r="A7" s="32"/>
      <c r="B7" s="23" t="s">
        <v>409</v>
      </c>
      <c r="C7" s="23" t="s">
        <v>221</v>
      </c>
      <c r="D7" s="23" t="s">
        <v>40</v>
      </c>
      <c r="E7" s="28">
        <v>630.0</v>
      </c>
      <c r="F7" s="28">
        <v>3.0</v>
      </c>
      <c r="G7" s="28">
        <v>50.0</v>
      </c>
      <c r="H7" s="29"/>
      <c r="I7" s="17"/>
      <c r="J7" s="17"/>
      <c r="K7" s="61">
        <f t="shared" si="1"/>
        <v>157.5</v>
      </c>
      <c r="L7" s="61">
        <f t="shared" si="2"/>
        <v>50</v>
      </c>
      <c r="M7" s="61">
        <f t="shared" si="3"/>
        <v>207.5</v>
      </c>
    </row>
    <row r="8">
      <c r="A8" s="32"/>
      <c r="B8" s="23" t="s">
        <v>396</v>
      </c>
      <c r="C8" s="23" t="s">
        <v>222</v>
      </c>
      <c r="D8" s="23" t="s">
        <v>21</v>
      </c>
      <c r="E8" s="28">
        <v>652.0</v>
      </c>
      <c r="F8" s="28">
        <v>4.0</v>
      </c>
      <c r="G8" s="28">
        <v>40.0</v>
      </c>
      <c r="H8" s="29"/>
      <c r="I8" s="101"/>
      <c r="J8" s="101"/>
      <c r="K8" s="61">
        <f t="shared" si="1"/>
        <v>163</v>
      </c>
      <c r="L8" s="61">
        <f t="shared" si="2"/>
        <v>40</v>
      </c>
      <c r="M8" s="61">
        <f t="shared" si="3"/>
        <v>203</v>
      </c>
    </row>
    <row r="9">
      <c r="A9" s="61"/>
      <c r="B9" s="23" t="s">
        <v>341</v>
      </c>
      <c r="C9" s="23" t="s">
        <v>32</v>
      </c>
      <c r="D9" s="23"/>
      <c r="E9" s="28">
        <v>642.0</v>
      </c>
      <c r="F9" s="28">
        <v>5.0</v>
      </c>
      <c r="G9" s="28">
        <v>30.0</v>
      </c>
      <c r="H9" s="29"/>
      <c r="I9" s="105"/>
      <c r="J9" s="105"/>
      <c r="K9" s="61">
        <f t="shared" si="1"/>
        <v>160.5</v>
      </c>
      <c r="L9" s="61">
        <f t="shared" si="2"/>
        <v>30</v>
      </c>
      <c r="M9" s="61">
        <f t="shared" si="3"/>
        <v>190.5</v>
      </c>
    </row>
    <row r="10">
      <c r="A10" s="61"/>
      <c r="B10" s="23" t="s">
        <v>349</v>
      </c>
      <c r="C10" s="23" t="s">
        <v>32</v>
      </c>
      <c r="D10" s="23" t="s">
        <v>40</v>
      </c>
      <c r="E10" s="28">
        <v>622.0</v>
      </c>
      <c r="F10" s="28">
        <v>6.0</v>
      </c>
      <c r="G10" s="28">
        <v>20.0</v>
      </c>
      <c r="H10" s="101"/>
      <c r="I10" s="105"/>
      <c r="J10" s="105"/>
      <c r="K10" s="61">
        <f t="shared" si="1"/>
        <v>155.5</v>
      </c>
      <c r="L10" s="61">
        <f t="shared" si="2"/>
        <v>20</v>
      </c>
      <c r="M10" s="61">
        <f t="shared" si="3"/>
        <v>175.5</v>
      </c>
    </row>
    <row r="11">
      <c r="A11" s="61"/>
      <c r="B11" s="23" t="s">
        <v>350</v>
      </c>
      <c r="C11" s="23" t="s">
        <v>224</v>
      </c>
      <c r="D11" s="23" t="s">
        <v>40</v>
      </c>
      <c r="E11" s="104">
        <v>646.0</v>
      </c>
      <c r="F11" s="28">
        <v>7.0</v>
      </c>
      <c r="G11" s="28">
        <v>10.0</v>
      </c>
      <c r="H11" s="101"/>
      <c r="I11" s="105"/>
      <c r="J11" s="105"/>
      <c r="K11" s="61">
        <f t="shared" si="1"/>
        <v>161.5</v>
      </c>
      <c r="L11" s="61">
        <f t="shared" si="2"/>
        <v>10</v>
      </c>
      <c r="M11" s="61">
        <f t="shared" si="3"/>
        <v>171.5</v>
      </c>
    </row>
    <row r="12">
      <c r="A12" s="32"/>
      <c r="B12" s="23" t="s">
        <v>408</v>
      </c>
      <c r="C12" s="23" t="s">
        <v>202</v>
      </c>
      <c r="D12" s="23" t="s">
        <v>34</v>
      </c>
      <c r="E12" s="28">
        <v>640.0</v>
      </c>
      <c r="F12" s="28">
        <v>8.0</v>
      </c>
      <c r="G12" s="28">
        <v>5.0</v>
      </c>
      <c r="H12" s="29"/>
      <c r="I12" s="105"/>
      <c r="J12" s="105"/>
      <c r="K12" s="61">
        <f t="shared" si="1"/>
        <v>160</v>
      </c>
      <c r="L12" s="61">
        <f t="shared" si="2"/>
        <v>5</v>
      </c>
      <c r="M12" s="61">
        <f t="shared" si="3"/>
        <v>165</v>
      </c>
    </row>
    <row r="13">
      <c r="A13" s="61"/>
      <c r="B13" s="23" t="s">
        <v>352</v>
      </c>
      <c r="C13" s="23" t="s">
        <v>202</v>
      </c>
      <c r="D13" s="23" t="s">
        <v>16</v>
      </c>
      <c r="E13" s="130">
        <v>652.0</v>
      </c>
      <c r="F13" s="102"/>
      <c r="G13" s="102"/>
      <c r="H13" s="29"/>
      <c r="I13" s="45"/>
      <c r="J13" s="45"/>
      <c r="K13" s="61">
        <f t="shared" si="1"/>
        <v>163</v>
      </c>
      <c r="L13" s="61">
        <f t="shared" si="2"/>
        <v>0</v>
      </c>
      <c r="M13" s="61">
        <f t="shared" si="3"/>
        <v>163</v>
      </c>
    </row>
    <row r="14">
      <c r="A14" s="32"/>
      <c r="B14" s="23" t="s">
        <v>395</v>
      </c>
      <c r="C14" s="23" t="s">
        <v>32</v>
      </c>
      <c r="D14" s="23" t="s">
        <v>40</v>
      </c>
      <c r="E14" s="28">
        <v>651.0</v>
      </c>
      <c r="F14" s="28"/>
      <c r="G14" s="28"/>
      <c r="H14" s="29"/>
      <c r="I14" s="45"/>
      <c r="J14" s="45"/>
      <c r="K14" s="61">
        <f t="shared" si="1"/>
        <v>162.75</v>
      </c>
      <c r="L14" s="61">
        <f t="shared" si="2"/>
        <v>0</v>
      </c>
      <c r="M14" s="61">
        <f t="shared" si="3"/>
        <v>162.75</v>
      </c>
    </row>
    <row r="15">
      <c r="A15" s="32"/>
      <c r="B15" s="23" t="s">
        <v>404</v>
      </c>
      <c r="C15" s="23" t="s">
        <v>202</v>
      </c>
      <c r="D15" s="23" t="s">
        <v>34</v>
      </c>
      <c r="E15" s="28">
        <v>642.0</v>
      </c>
      <c r="F15" s="28"/>
      <c r="G15" s="28"/>
      <c r="H15" s="101"/>
      <c r="I15" s="101"/>
      <c r="J15" s="101"/>
      <c r="K15" s="61">
        <f t="shared" si="1"/>
        <v>160.5</v>
      </c>
      <c r="L15" s="61">
        <f t="shared" si="2"/>
        <v>0</v>
      </c>
      <c r="M15" s="61">
        <f t="shared" si="3"/>
        <v>160.5</v>
      </c>
    </row>
    <row r="16">
      <c r="A16" s="32"/>
      <c r="B16" s="23" t="s">
        <v>338</v>
      </c>
      <c r="C16" s="23" t="s">
        <v>222</v>
      </c>
      <c r="D16" s="23" t="s">
        <v>21</v>
      </c>
      <c r="E16" s="28">
        <v>638.0</v>
      </c>
      <c r="F16" s="28"/>
      <c r="G16" s="28"/>
      <c r="H16" s="101"/>
      <c r="I16" s="105"/>
      <c r="J16" s="105"/>
      <c r="K16" s="61">
        <f t="shared" si="1"/>
        <v>159.5</v>
      </c>
      <c r="L16" s="61">
        <f t="shared" si="2"/>
        <v>0</v>
      </c>
      <c r="M16" s="61">
        <f t="shared" si="3"/>
        <v>159.5</v>
      </c>
    </row>
    <row r="17">
      <c r="A17" s="32"/>
      <c r="B17" s="23" t="s">
        <v>402</v>
      </c>
      <c r="C17" s="23" t="s">
        <v>202</v>
      </c>
      <c r="D17" s="23"/>
      <c r="E17" s="28">
        <v>637.0</v>
      </c>
      <c r="F17" s="28"/>
      <c r="G17" s="28"/>
      <c r="H17" s="29"/>
      <c r="I17" s="105"/>
      <c r="J17" s="105"/>
      <c r="K17" s="61">
        <f t="shared" si="1"/>
        <v>159.25</v>
      </c>
      <c r="L17" s="61">
        <f t="shared" si="2"/>
        <v>0</v>
      </c>
      <c r="M17" s="61">
        <f t="shared" si="3"/>
        <v>159.25</v>
      </c>
    </row>
    <row r="18">
      <c r="A18" s="61"/>
      <c r="B18" s="108" t="s">
        <v>398</v>
      </c>
      <c r="C18" s="108" t="s">
        <v>226</v>
      </c>
      <c r="D18" s="108"/>
      <c r="E18" s="28">
        <v>634.0</v>
      </c>
      <c r="F18" s="28"/>
      <c r="G18" s="28"/>
      <c r="H18" s="112"/>
      <c r="I18" s="112"/>
      <c r="J18" s="112"/>
      <c r="K18" s="61">
        <f t="shared" si="1"/>
        <v>158.5</v>
      </c>
      <c r="L18" s="61">
        <f t="shared" si="2"/>
        <v>0</v>
      </c>
      <c r="M18" s="61">
        <f t="shared" si="3"/>
        <v>158.5</v>
      </c>
    </row>
    <row r="19">
      <c r="A19" s="61"/>
      <c r="B19" s="23" t="s">
        <v>412</v>
      </c>
      <c r="C19" s="23" t="s">
        <v>225</v>
      </c>
      <c r="D19" s="23" t="s">
        <v>40</v>
      </c>
      <c r="E19" s="28">
        <v>628.0</v>
      </c>
      <c r="F19" s="28"/>
      <c r="G19" s="28"/>
      <c r="H19" s="101"/>
      <c r="I19" s="105"/>
      <c r="J19" s="105"/>
      <c r="K19" s="61">
        <f t="shared" si="1"/>
        <v>157</v>
      </c>
      <c r="L19" s="61">
        <f t="shared" si="2"/>
        <v>0</v>
      </c>
      <c r="M19" s="61">
        <f t="shared" si="3"/>
        <v>157</v>
      </c>
    </row>
    <row r="20">
      <c r="A20" s="32"/>
      <c r="B20" s="23" t="s">
        <v>401</v>
      </c>
      <c r="C20" s="23" t="s">
        <v>220</v>
      </c>
      <c r="D20" s="23" t="s">
        <v>21</v>
      </c>
      <c r="E20" s="28">
        <v>626.0</v>
      </c>
      <c r="F20" s="28"/>
      <c r="G20" s="28"/>
      <c r="H20" s="29"/>
      <c r="I20" s="101"/>
      <c r="J20" s="101"/>
      <c r="K20" s="61">
        <f t="shared" si="1"/>
        <v>156.5</v>
      </c>
      <c r="L20" s="61">
        <f t="shared" si="2"/>
        <v>0</v>
      </c>
      <c r="M20" s="61">
        <f t="shared" si="3"/>
        <v>156.5</v>
      </c>
    </row>
    <row r="21">
      <c r="A21" s="32"/>
      <c r="B21" s="23" t="s">
        <v>400</v>
      </c>
      <c r="C21" s="23" t="s">
        <v>225</v>
      </c>
      <c r="D21" s="23"/>
      <c r="E21" s="28">
        <v>624.0</v>
      </c>
      <c r="F21" s="28"/>
      <c r="G21" s="28"/>
      <c r="H21" s="29"/>
      <c r="I21" s="17"/>
      <c r="J21" s="17"/>
      <c r="K21" s="61">
        <f t="shared" si="1"/>
        <v>156</v>
      </c>
      <c r="L21" s="61">
        <f t="shared" si="2"/>
        <v>0</v>
      </c>
      <c r="M21" s="61">
        <f t="shared" si="3"/>
        <v>156</v>
      </c>
    </row>
    <row r="22">
      <c r="A22" s="61"/>
      <c r="B22" s="23" t="s">
        <v>339</v>
      </c>
      <c r="C22" s="23" t="s">
        <v>222</v>
      </c>
      <c r="D22" s="23"/>
      <c r="E22" s="28">
        <v>624.0</v>
      </c>
      <c r="F22" s="28"/>
      <c r="G22" s="28"/>
      <c r="H22" s="29"/>
      <c r="I22" s="105"/>
      <c r="J22" s="105"/>
      <c r="K22" s="61">
        <f t="shared" si="1"/>
        <v>156</v>
      </c>
      <c r="L22" s="61">
        <f t="shared" si="2"/>
        <v>0</v>
      </c>
      <c r="M22" s="61">
        <f t="shared" si="3"/>
        <v>156</v>
      </c>
    </row>
    <row r="23">
      <c r="A23" s="32"/>
      <c r="B23" s="23" t="s">
        <v>413</v>
      </c>
      <c r="C23" s="23" t="s">
        <v>225</v>
      </c>
      <c r="D23" s="23"/>
      <c r="E23" s="113">
        <v>622.0</v>
      </c>
      <c r="F23" s="28"/>
      <c r="G23" s="28"/>
      <c r="H23" s="47"/>
      <c r="I23" s="17"/>
      <c r="J23" s="17"/>
      <c r="K23" s="61">
        <f t="shared" si="1"/>
        <v>155.5</v>
      </c>
      <c r="L23" s="61">
        <f t="shared" si="2"/>
        <v>0</v>
      </c>
      <c r="M23" s="61">
        <f t="shared" si="3"/>
        <v>155.5</v>
      </c>
    </row>
    <row r="24">
      <c r="A24" s="61"/>
      <c r="B24" s="23" t="s">
        <v>399</v>
      </c>
      <c r="C24" s="23" t="s">
        <v>225</v>
      </c>
      <c r="D24" s="23"/>
      <c r="E24" s="28">
        <v>615.0</v>
      </c>
      <c r="F24" s="28"/>
      <c r="G24" s="28"/>
      <c r="H24" s="101"/>
      <c r="I24" s="105"/>
      <c r="J24" s="105"/>
      <c r="K24" s="61">
        <f t="shared" si="1"/>
        <v>153.75</v>
      </c>
      <c r="L24" s="61">
        <f t="shared" si="2"/>
        <v>0</v>
      </c>
      <c r="M24" s="61">
        <f t="shared" si="3"/>
        <v>153.75</v>
      </c>
    </row>
    <row r="25">
      <c r="A25" s="61"/>
      <c r="B25" s="23" t="s">
        <v>419</v>
      </c>
      <c r="C25" s="23" t="s">
        <v>220</v>
      </c>
      <c r="D25" s="23"/>
      <c r="E25" s="28">
        <v>605.0</v>
      </c>
      <c r="F25" s="28"/>
      <c r="G25" s="28"/>
      <c r="H25" s="101"/>
      <c r="I25" s="105"/>
      <c r="J25" s="105"/>
      <c r="K25" s="61">
        <f t="shared" si="1"/>
        <v>151.25</v>
      </c>
      <c r="L25" s="61">
        <f t="shared" si="2"/>
        <v>0</v>
      </c>
      <c r="M25" s="61">
        <f t="shared" si="3"/>
        <v>151.25</v>
      </c>
    </row>
    <row r="26">
      <c r="A26" s="61"/>
      <c r="B26" s="23" t="s">
        <v>351</v>
      </c>
      <c r="C26" s="23" t="s">
        <v>226</v>
      </c>
      <c r="D26" s="23"/>
      <c r="E26" s="28">
        <v>602.0</v>
      </c>
      <c r="F26" s="28"/>
      <c r="G26" s="28"/>
      <c r="H26" s="29"/>
      <c r="I26" s="105"/>
      <c r="J26" s="105"/>
      <c r="K26" s="61">
        <f t="shared" si="1"/>
        <v>150.5</v>
      </c>
      <c r="L26" s="61">
        <f t="shared" si="2"/>
        <v>0</v>
      </c>
      <c r="M26" s="61">
        <f t="shared" si="3"/>
        <v>150.5</v>
      </c>
    </row>
    <row r="27">
      <c r="A27" s="32"/>
      <c r="B27" s="23" t="s">
        <v>418</v>
      </c>
      <c r="C27" s="23" t="s">
        <v>220</v>
      </c>
      <c r="D27" s="23"/>
      <c r="E27" s="28">
        <v>587.0</v>
      </c>
      <c r="F27" s="28"/>
      <c r="G27" s="28"/>
      <c r="H27" s="29"/>
      <c r="I27" s="17"/>
      <c r="J27" s="17"/>
      <c r="K27" s="61">
        <f t="shared" si="1"/>
        <v>146.75</v>
      </c>
      <c r="L27" s="61">
        <f t="shared" si="2"/>
        <v>0</v>
      </c>
      <c r="M27" s="61">
        <f t="shared" si="3"/>
        <v>146.75</v>
      </c>
    </row>
    <row r="28">
      <c r="A28" s="32"/>
      <c r="B28" s="108" t="s">
        <v>403</v>
      </c>
      <c r="C28" s="108" t="s">
        <v>226</v>
      </c>
      <c r="D28" s="23"/>
      <c r="E28" s="28">
        <v>583.0</v>
      </c>
      <c r="F28" s="28"/>
      <c r="G28" s="28"/>
      <c r="H28" s="112"/>
      <c r="I28" s="114"/>
      <c r="J28" s="114"/>
      <c r="K28" s="61">
        <f t="shared" si="1"/>
        <v>145.75</v>
      </c>
      <c r="L28" s="61">
        <f t="shared" si="2"/>
        <v>0</v>
      </c>
      <c r="M28" s="61">
        <f t="shared" si="3"/>
        <v>145.75</v>
      </c>
    </row>
    <row r="29">
      <c r="A29" s="32"/>
      <c r="B29" s="23" t="s">
        <v>417</v>
      </c>
      <c r="C29" s="23" t="s">
        <v>226</v>
      </c>
      <c r="D29" s="23"/>
      <c r="E29" s="28">
        <v>581.0</v>
      </c>
      <c r="F29" s="28"/>
      <c r="G29" s="28"/>
      <c r="H29" s="101"/>
      <c r="I29" s="105"/>
      <c r="J29" s="105"/>
      <c r="K29" s="61">
        <f t="shared" si="1"/>
        <v>145.25</v>
      </c>
      <c r="L29" s="61">
        <f t="shared" si="2"/>
        <v>0</v>
      </c>
      <c r="M29" s="61">
        <f t="shared" si="3"/>
        <v>145.25</v>
      </c>
    </row>
    <row r="30">
      <c r="A30" s="61"/>
      <c r="B30" s="23"/>
      <c r="C30" s="23"/>
      <c r="D30" s="23"/>
      <c r="E30" s="28"/>
      <c r="F30" s="28"/>
      <c r="G30" s="28"/>
      <c r="H30" s="101"/>
      <c r="I30" s="105"/>
      <c r="J30" s="105"/>
      <c r="K30" s="61">
        <f t="shared" si="1"/>
        <v>0</v>
      </c>
      <c r="L30" s="61">
        <f t="shared" si="2"/>
        <v>0</v>
      </c>
      <c r="M30" s="61">
        <f t="shared" si="3"/>
        <v>0</v>
      </c>
    </row>
    <row r="31">
      <c r="A31" s="32"/>
      <c r="B31" s="108"/>
      <c r="C31" s="108"/>
      <c r="D31" s="23"/>
      <c r="E31" s="28"/>
      <c r="F31" s="28"/>
      <c r="G31" s="28"/>
      <c r="H31" s="112"/>
      <c r="I31" s="112"/>
      <c r="J31" s="112"/>
      <c r="K31" s="61">
        <f t="shared" si="1"/>
        <v>0</v>
      </c>
      <c r="L31" s="61">
        <f t="shared" si="2"/>
        <v>0</v>
      </c>
      <c r="M31" s="61">
        <f t="shared" si="3"/>
        <v>0</v>
      </c>
    </row>
    <row r="32">
      <c r="A32" s="61"/>
      <c r="B32" s="23"/>
      <c r="C32" s="23"/>
      <c r="D32" s="23"/>
      <c r="E32" s="28"/>
      <c r="F32" s="28"/>
      <c r="G32" s="28"/>
      <c r="H32" s="105"/>
      <c r="I32" s="105"/>
      <c r="J32" s="105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61"/>
      <c r="B33" s="108"/>
      <c r="C33" s="108"/>
      <c r="D33" s="23"/>
      <c r="E33" s="28"/>
      <c r="F33" s="28"/>
      <c r="G33" s="28"/>
      <c r="H33" s="112"/>
      <c r="I33" s="114"/>
      <c r="J33" s="114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61"/>
      <c r="B34" s="23"/>
      <c r="C34" s="23"/>
      <c r="D34" s="23"/>
      <c r="E34" s="28"/>
      <c r="F34" s="28"/>
      <c r="G34" s="28"/>
      <c r="H34" s="47"/>
      <c r="I34" s="105"/>
      <c r="J34" s="105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105"/>
      <c r="I35" s="105"/>
      <c r="J35" s="105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32"/>
      <c r="B36" s="108"/>
      <c r="C36" s="108"/>
      <c r="D36" s="108"/>
      <c r="E36" s="28"/>
      <c r="F36" s="28"/>
      <c r="G36" s="28"/>
      <c r="H36" s="112"/>
      <c r="I36" s="114"/>
      <c r="J36" s="114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23"/>
      <c r="C37" s="23"/>
      <c r="D37" s="23"/>
      <c r="E37" s="28"/>
      <c r="F37" s="28"/>
      <c r="G37" s="28"/>
      <c r="H37" s="101"/>
      <c r="I37" s="105"/>
      <c r="J37" s="105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61"/>
      <c r="B38" s="23"/>
      <c r="C38" s="23"/>
      <c r="D38" s="23"/>
      <c r="E38" s="28"/>
      <c r="F38" s="28"/>
      <c r="G38" s="28"/>
      <c r="H38" s="101"/>
      <c r="I38" s="105"/>
      <c r="J38" s="105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32"/>
      <c r="B39" s="108"/>
      <c r="C39" s="108"/>
      <c r="D39" s="108"/>
      <c r="E39" s="28"/>
      <c r="F39" s="28"/>
      <c r="G39" s="28"/>
      <c r="H39" s="114"/>
      <c r="I39" s="114"/>
      <c r="J39" s="114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2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32"/>
      <c r="B41" s="115"/>
      <c r="C41" s="115"/>
      <c r="D41" s="115"/>
      <c r="E41" s="118"/>
      <c r="F41" s="118"/>
      <c r="G41" s="118"/>
      <c r="H41" s="119"/>
      <c r="I41" s="119"/>
      <c r="J41" s="119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32"/>
      <c r="B42" s="23"/>
      <c r="C42" s="23"/>
      <c r="D42" s="23"/>
      <c r="E42" s="28"/>
      <c r="F42" s="28"/>
      <c r="G42" s="28"/>
      <c r="H42" s="101"/>
      <c r="I42" s="105"/>
      <c r="J42" s="105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61"/>
      <c r="B43" s="23"/>
      <c r="C43" s="23"/>
      <c r="D43" s="23"/>
      <c r="E43" s="28"/>
      <c r="F43" s="28"/>
      <c r="G43" s="28"/>
      <c r="H43" s="101"/>
      <c r="I43" s="105"/>
      <c r="J43" s="105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61"/>
      <c r="B44" s="115"/>
      <c r="C44" s="115"/>
      <c r="D44" s="115"/>
      <c r="E44" s="118"/>
      <c r="F44" s="120"/>
      <c r="G44" s="120"/>
      <c r="H44" s="119"/>
      <c r="I44" s="119"/>
      <c r="J44" s="119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32"/>
      <c r="B45" s="23"/>
      <c r="C45" s="23"/>
      <c r="D45" s="23"/>
      <c r="E45" s="28"/>
      <c r="F45" s="28"/>
      <c r="G45" s="28"/>
      <c r="H45" s="47"/>
      <c r="I45" s="105"/>
      <c r="J45" s="105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61"/>
      <c r="B46" s="108"/>
      <c r="C46" s="108"/>
      <c r="D46" s="108"/>
      <c r="E46" s="28"/>
      <c r="F46" s="28"/>
      <c r="G46" s="28"/>
      <c r="H46" s="114"/>
      <c r="I46" s="114"/>
      <c r="J46" s="114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08"/>
      <c r="C47" s="108"/>
      <c r="D47" s="108"/>
      <c r="E47" s="28"/>
      <c r="F47" s="28"/>
      <c r="G47" s="28"/>
      <c r="H47" s="114"/>
      <c r="I47" s="114"/>
      <c r="J47" s="114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32"/>
      <c r="B48" s="31"/>
      <c r="C48" s="31"/>
      <c r="D48" s="31"/>
      <c r="E48" s="28"/>
      <c r="F48" s="28"/>
      <c r="G48" s="28"/>
      <c r="H48" s="112"/>
      <c r="I48" s="114"/>
      <c r="J48" s="114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32"/>
      <c r="B49" s="115"/>
      <c r="C49" s="115"/>
      <c r="D49" s="115"/>
      <c r="E49" s="118"/>
      <c r="F49" s="120"/>
      <c r="G49" s="120"/>
      <c r="H49" s="119"/>
      <c r="I49" s="119"/>
      <c r="J49" s="119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61"/>
      <c r="B50" s="108"/>
      <c r="C50" s="108"/>
      <c r="D50" s="108"/>
      <c r="E50" s="28"/>
      <c r="F50" s="28"/>
      <c r="G50" s="28"/>
      <c r="H50" s="114"/>
      <c r="I50" s="114"/>
      <c r="J50" s="114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32"/>
      <c r="B51" s="31"/>
      <c r="C51" s="31"/>
      <c r="D51" s="31"/>
      <c r="E51" s="28"/>
      <c r="F51" s="28"/>
      <c r="G51" s="28"/>
      <c r="H51" s="112"/>
      <c r="I51" s="114"/>
      <c r="J51" s="114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61"/>
      <c r="B52" s="23"/>
      <c r="C52" s="23"/>
      <c r="D52" s="23"/>
      <c r="E52" s="28"/>
      <c r="F52" s="28"/>
      <c r="G52" s="28"/>
      <c r="H52" s="105"/>
      <c r="I52" s="105"/>
      <c r="J52" s="105"/>
      <c r="K52" s="61">
        <f t="shared" si="1"/>
        <v>0</v>
      </c>
      <c r="L52" s="61">
        <f t="shared" si="2"/>
        <v>0</v>
      </c>
      <c r="M52" s="61">
        <f t="shared" si="3"/>
        <v>0</v>
      </c>
    </row>
    <row r="53">
      <c r="A53" s="61"/>
      <c r="B53" s="108"/>
      <c r="C53" s="121"/>
      <c r="D53" s="121"/>
      <c r="E53" s="28"/>
      <c r="F53" s="28"/>
      <c r="G53" s="28"/>
      <c r="H53" s="114"/>
      <c r="I53" s="114"/>
      <c r="J53" s="114"/>
      <c r="K53" s="61">
        <f t="shared" si="1"/>
        <v>0</v>
      </c>
      <c r="L53" s="61">
        <f t="shared" si="2"/>
        <v>0</v>
      </c>
      <c r="M53" s="61">
        <f t="shared" si="3"/>
        <v>0</v>
      </c>
    </row>
    <row r="54">
      <c r="A54" s="61"/>
      <c r="B54" s="115"/>
      <c r="C54" s="115"/>
      <c r="D54" s="115"/>
      <c r="E54" s="118"/>
      <c r="F54" s="120"/>
      <c r="G54" s="120"/>
      <c r="H54" s="119"/>
      <c r="I54" s="119"/>
      <c r="J54" s="119"/>
      <c r="K54" s="61">
        <f t="shared" si="1"/>
        <v>0</v>
      </c>
      <c r="L54" s="61">
        <f t="shared" si="2"/>
        <v>0</v>
      </c>
      <c r="M54" s="61">
        <f t="shared" si="3"/>
        <v>0</v>
      </c>
    </row>
    <row r="55">
      <c r="A55" s="32"/>
      <c r="B55" s="23"/>
      <c r="C55" s="23"/>
      <c r="D55" s="23"/>
      <c r="E55" s="28"/>
      <c r="F55" s="28"/>
      <c r="G55" s="28"/>
      <c r="H55" s="105"/>
      <c r="I55" s="105"/>
      <c r="J55" s="105"/>
      <c r="K55" s="61">
        <f t="shared" si="1"/>
        <v>0</v>
      </c>
      <c r="L55" s="61">
        <f t="shared" si="2"/>
        <v>0</v>
      </c>
      <c r="M55" s="61">
        <f t="shared" si="3"/>
        <v>0</v>
      </c>
    </row>
    <row r="56">
      <c r="A56" s="32"/>
      <c r="B56" s="115"/>
      <c r="C56" s="115"/>
      <c r="D56" s="115"/>
      <c r="E56" s="118"/>
      <c r="F56" s="120"/>
      <c r="G56" s="120"/>
      <c r="H56" s="119"/>
      <c r="I56" s="119"/>
      <c r="J56" s="119"/>
      <c r="K56" s="61">
        <f t="shared" si="1"/>
        <v>0</v>
      </c>
      <c r="L56" s="61">
        <f t="shared" si="2"/>
        <v>0</v>
      </c>
      <c r="M56" s="61">
        <f t="shared" si="3"/>
        <v>0</v>
      </c>
    </row>
    <row r="57">
      <c r="A57" s="61"/>
      <c r="B57" s="108"/>
      <c r="C57" s="108"/>
      <c r="D57" s="108"/>
      <c r="E57" s="28"/>
      <c r="F57" s="28"/>
      <c r="G57" s="28"/>
      <c r="H57" s="114"/>
      <c r="I57" s="114"/>
      <c r="J57" s="114"/>
      <c r="K57" s="61">
        <f t="shared" si="1"/>
        <v>0</v>
      </c>
      <c r="L57" s="61">
        <f t="shared" si="2"/>
        <v>0</v>
      </c>
      <c r="M57" s="61">
        <f t="shared" si="3"/>
        <v>0</v>
      </c>
    </row>
    <row r="58">
      <c r="A58" s="32"/>
      <c r="B58" s="31"/>
      <c r="C58" s="31"/>
      <c r="D58" s="31"/>
      <c r="E58" s="28"/>
      <c r="F58" s="28"/>
      <c r="G58" s="28"/>
      <c r="H58" s="112"/>
      <c r="I58" s="114"/>
      <c r="J58" s="114"/>
      <c r="K58" s="61">
        <f t="shared" si="1"/>
        <v>0</v>
      </c>
      <c r="L58" s="61">
        <f t="shared" si="2"/>
        <v>0</v>
      </c>
      <c r="M58" s="61">
        <f t="shared" si="3"/>
        <v>0</v>
      </c>
    </row>
    <row r="59">
      <c r="A59" s="61"/>
      <c r="B59" s="23"/>
      <c r="C59" s="23"/>
      <c r="D59" s="23"/>
      <c r="E59" s="28"/>
      <c r="F59" s="28"/>
      <c r="G59" s="28"/>
      <c r="H59" s="105"/>
      <c r="I59" s="105"/>
      <c r="J59" s="105"/>
      <c r="K59" s="61">
        <f t="shared" si="1"/>
        <v>0</v>
      </c>
      <c r="L59" s="61">
        <f t="shared" si="2"/>
        <v>0</v>
      </c>
      <c r="M59" s="61">
        <f t="shared" si="3"/>
        <v>0</v>
      </c>
    </row>
    <row r="60">
      <c r="A60" s="32"/>
      <c r="B60" s="108"/>
      <c r="C60" s="108"/>
      <c r="D60" s="108"/>
      <c r="E60" s="28"/>
      <c r="F60" s="28"/>
      <c r="G60" s="28"/>
      <c r="H60" s="112"/>
      <c r="I60" s="114"/>
      <c r="J60" s="114"/>
      <c r="K60" s="61">
        <f t="shared" si="1"/>
        <v>0</v>
      </c>
      <c r="L60" s="61">
        <f t="shared" si="2"/>
        <v>0</v>
      </c>
      <c r="M60" s="61">
        <f t="shared" si="3"/>
        <v>0</v>
      </c>
    </row>
    <row r="61">
      <c r="A61" s="61"/>
      <c r="B61" s="23"/>
      <c r="C61" s="23"/>
      <c r="D61" s="23"/>
      <c r="E61" s="28"/>
      <c r="F61" s="28"/>
      <c r="G61" s="28"/>
      <c r="H61" s="105"/>
      <c r="I61" s="105"/>
      <c r="J61" s="105"/>
      <c r="K61" s="61">
        <f t="shared" si="1"/>
        <v>0</v>
      </c>
      <c r="L61" s="61">
        <f t="shared" si="2"/>
        <v>0</v>
      </c>
      <c r="M61" s="61">
        <f t="shared" si="3"/>
        <v>0</v>
      </c>
    </row>
    <row r="62">
      <c r="A62" s="32"/>
      <c r="B62" s="31"/>
      <c r="C62" s="31"/>
      <c r="D62" s="31"/>
      <c r="E62" s="28"/>
      <c r="F62" s="28"/>
      <c r="G62" s="28"/>
      <c r="H62" s="112"/>
      <c r="I62" s="114"/>
      <c r="J62" s="114"/>
      <c r="K62" s="61">
        <f t="shared" si="1"/>
        <v>0</v>
      </c>
      <c r="L62" s="61">
        <f t="shared" si="2"/>
        <v>0</v>
      </c>
      <c r="M62" s="61">
        <f t="shared" si="3"/>
        <v>0</v>
      </c>
    </row>
  </sheetData>
  <autoFilter ref="$A$4:$M$62">
    <sortState ref="A4:M62">
      <sortCondition descending="1" ref="M4:M62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1">
      <c r="A1" s="122" t="s">
        <v>217</v>
      </c>
    </row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385</v>
      </c>
      <c r="C5" s="23" t="s">
        <v>51</v>
      </c>
      <c r="D5" s="23"/>
      <c r="E5" s="28">
        <v>655.0</v>
      </c>
      <c r="F5" s="28">
        <v>4.0</v>
      </c>
      <c r="G5" s="28">
        <v>40.0</v>
      </c>
      <c r="H5" s="29"/>
      <c r="I5" s="101"/>
      <c r="J5" s="101"/>
      <c r="K5" s="61">
        <f t="shared" ref="K5:K55" si="1">(H5+E5)/4</f>
        <v>163.75</v>
      </c>
      <c r="L5" s="61">
        <f t="shared" ref="L5:L55" si="2">J5+G5</f>
        <v>40</v>
      </c>
      <c r="M5" s="61">
        <f t="shared" ref="M5:M55" si="3">K5+L5</f>
        <v>203.75</v>
      </c>
    </row>
    <row r="6">
      <c r="A6" s="32"/>
      <c r="B6" s="23" t="s">
        <v>377</v>
      </c>
      <c r="C6" s="23" t="s">
        <v>36</v>
      </c>
      <c r="D6" s="23"/>
      <c r="E6" s="28">
        <v>597.0</v>
      </c>
      <c r="F6" s="28">
        <v>5.0</v>
      </c>
      <c r="G6" s="28">
        <v>30.0</v>
      </c>
      <c r="H6" s="101"/>
      <c r="I6" s="105"/>
      <c r="J6" s="105"/>
      <c r="K6" s="61">
        <f t="shared" si="1"/>
        <v>149.25</v>
      </c>
      <c r="L6" s="61">
        <f t="shared" si="2"/>
        <v>30</v>
      </c>
      <c r="M6" s="61">
        <f t="shared" si="3"/>
        <v>179.25</v>
      </c>
    </row>
    <row r="7">
      <c r="A7" s="32"/>
      <c r="B7" s="23" t="s">
        <v>391</v>
      </c>
      <c r="C7" s="23" t="s">
        <v>18</v>
      </c>
      <c r="D7" s="23" t="s">
        <v>34</v>
      </c>
      <c r="E7" s="28">
        <v>598.0</v>
      </c>
      <c r="F7" s="28">
        <v>7.0</v>
      </c>
      <c r="G7" s="28">
        <v>10.0</v>
      </c>
      <c r="H7" s="29"/>
      <c r="I7" s="105"/>
      <c r="J7" s="105"/>
      <c r="K7" s="61">
        <f t="shared" si="1"/>
        <v>149.5</v>
      </c>
      <c r="L7" s="61">
        <f t="shared" si="2"/>
        <v>10</v>
      </c>
      <c r="M7" s="61">
        <f t="shared" si="3"/>
        <v>159.5</v>
      </c>
    </row>
    <row r="8">
      <c r="A8" s="32"/>
      <c r="B8" s="23" t="s">
        <v>318</v>
      </c>
      <c r="C8" s="23" t="s">
        <v>67</v>
      </c>
      <c r="D8" s="23" t="s">
        <v>21</v>
      </c>
      <c r="E8" s="28">
        <v>604.0</v>
      </c>
      <c r="F8" s="28"/>
      <c r="G8" s="28"/>
      <c r="H8" s="101"/>
      <c r="I8" s="101"/>
      <c r="J8" s="101"/>
      <c r="K8" s="61">
        <f t="shared" si="1"/>
        <v>151</v>
      </c>
      <c r="L8" s="61">
        <f t="shared" si="2"/>
        <v>0</v>
      </c>
      <c r="M8" s="61">
        <f t="shared" si="3"/>
        <v>151</v>
      </c>
    </row>
    <row r="9">
      <c r="A9" s="61"/>
      <c r="B9" s="108" t="s">
        <v>387</v>
      </c>
      <c r="C9" s="108" t="s">
        <v>15</v>
      </c>
      <c r="D9" s="108" t="s">
        <v>40</v>
      </c>
      <c r="E9" s="28">
        <v>585.0</v>
      </c>
      <c r="F9" s="28"/>
      <c r="G9" s="28"/>
      <c r="H9" s="112"/>
      <c r="I9" s="112"/>
      <c r="J9" s="112"/>
      <c r="K9" s="61">
        <f t="shared" si="1"/>
        <v>146.25</v>
      </c>
      <c r="L9" s="61">
        <f t="shared" si="2"/>
        <v>0</v>
      </c>
      <c r="M9" s="61">
        <f t="shared" si="3"/>
        <v>146.25</v>
      </c>
    </row>
    <row r="10">
      <c r="A10" s="32"/>
      <c r="B10" s="23" t="s">
        <v>325</v>
      </c>
      <c r="C10" s="23" t="s">
        <v>168</v>
      </c>
      <c r="D10" s="23"/>
      <c r="E10" s="28">
        <v>570.0</v>
      </c>
      <c r="F10" s="28"/>
      <c r="G10" s="28"/>
      <c r="H10" s="29"/>
      <c r="I10" s="17"/>
      <c r="J10" s="17"/>
      <c r="K10" s="61">
        <f t="shared" si="1"/>
        <v>142.5</v>
      </c>
      <c r="L10" s="61">
        <f t="shared" si="2"/>
        <v>0</v>
      </c>
      <c r="M10" s="61">
        <f t="shared" si="3"/>
        <v>142.5</v>
      </c>
    </row>
    <row r="11">
      <c r="A11" s="61"/>
      <c r="B11" s="23" t="s">
        <v>433</v>
      </c>
      <c r="C11" s="23" t="s">
        <v>32</v>
      </c>
      <c r="D11" s="23"/>
      <c r="E11" s="28">
        <v>555.0</v>
      </c>
      <c r="F11" s="28"/>
      <c r="G11" s="28"/>
      <c r="H11" s="101"/>
      <c r="I11" s="105"/>
      <c r="J11" s="105"/>
      <c r="K11" s="61">
        <f t="shared" si="1"/>
        <v>138.75</v>
      </c>
      <c r="L11" s="61">
        <f t="shared" si="2"/>
        <v>0</v>
      </c>
      <c r="M11" s="61">
        <f t="shared" si="3"/>
        <v>138.75</v>
      </c>
    </row>
    <row r="12">
      <c r="A12" s="32"/>
      <c r="B12" s="23" t="s">
        <v>392</v>
      </c>
      <c r="C12" s="23" t="s">
        <v>36</v>
      </c>
      <c r="D12" s="23"/>
      <c r="E12" s="28">
        <v>540.0</v>
      </c>
      <c r="F12" s="28"/>
      <c r="G12" s="28"/>
      <c r="H12" s="29"/>
      <c r="I12" s="101"/>
      <c r="J12" s="101"/>
      <c r="K12" s="61">
        <f t="shared" si="1"/>
        <v>135</v>
      </c>
      <c r="L12" s="61">
        <f t="shared" si="2"/>
        <v>0</v>
      </c>
      <c r="M12" s="61">
        <f t="shared" si="3"/>
        <v>135</v>
      </c>
    </row>
    <row r="13">
      <c r="A13" s="32"/>
      <c r="B13" s="23" t="s">
        <v>389</v>
      </c>
      <c r="C13" s="23" t="s">
        <v>67</v>
      </c>
      <c r="D13" s="23"/>
      <c r="E13" s="28">
        <v>521.0</v>
      </c>
      <c r="F13" s="28"/>
      <c r="G13" s="28"/>
      <c r="H13" s="29"/>
      <c r="I13" s="17"/>
      <c r="J13" s="17"/>
      <c r="K13" s="61">
        <f t="shared" si="1"/>
        <v>130.25</v>
      </c>
      <c r="L13" s="61">
        <f t="shared" si="2"/>
        <v>0</v>
      </c>
      <c r="M13" s="61">
        <f t="shared" si="3"/>
        <v>130.25</v>
      </c>
    </row>
    <row r="14">
      <c r="A14" s="61"/>
      <c r="B14" s="23" t="s">
        <v>311</v>
      </c>
      <c r="C14" s="23" t="s">
        <v>32</v>
      </c>
      <c r="D14" s="23"/>
      <c r="E14" s="28">
        <v>512.0</v>
      </c>
      <c r="F14" s="28"/>
      <c r="G14" s="28"/>
      <c r="H14" s="29"/>
      <c r="I14" s="105"/>
      <c r="J14" s="105"/>
      <c r="K14" s="61">
        <f t="shared" si="1"/>
        <v>128</v>
      </c>
      <c r="L14" s="61">
        <f t="shared" si="2"/>
        <v>0</v>
      </c>
      <c r="M14" s="61">
        <f t="shared" si="3"/>
        <v>128</v>
      </c>
    </row>
    <row r="15">
      <c r="A15" s="32"/>
      <c r="B15" s="23" t="s">
        <v>390</v>
      </c>
      <c r="C15" s="23" t="s">
        <v>48</v>
      </c>
      <c r="D15" s="23"/>
      <c r="E15" s="113">
        <v>512.0</v>
      </c>
      <c r="F15" s="28"/>
      <c r="G15" s="28"/>
      <c r="H15" s="47"/>
      <c r="I15" s="17"/>
      <c r="J15" s="17"/>
      <c r="K15" s="61">
        <f t="shared" si="1"/>
        <v>128</v>
      </c>
      <c r="L15" s="61">
        <f t="shared" si="2"/>
        <v>0</v>
      </c>
      <c r="M15" s="61">
        <f t="shared" si="3"/>
        <v>128</v>
      </c>
    </row>
    <row r="16">
      <c r="A16" s="61"/>
      <c r="B16" s="23" t="s">
        <v>393</v>
      </c>
      <c r="C16" s="23" t="s">
        <v>168</v>
      </c>
      <c r="D16" s="23"/>
      <c r="E16" s="28">
        <v>478.0</v>
      </c>
      <c r="F16" s="28"/>
      <c r="G16" s="28"/>
      <c r="H16" s="101"/>
      <c r="I16" s="105"/>
      <c r="J16" s="105"/>
      <c r="K16" s="61">
        <f t="shared" si="1"/>
        <v>119.5</v>
      </c>
      <c r="L16" s="61">
        <f t="shared" si="2"/>
        <v>0</v>
      </c>
      <c r="M16" s="61">
        <f t="shared" si="3"/>
        <v>119.5</v>
      </c>
    </row>
    <row r="17">
      <c r="A17" s="61"/>
      <c r="B17" s="23" t="s">
        <v>434</v>
      </c>
      <c r="C17" s="23" t="s">
        <v>168</v>
      </c>
      <c r="D17" s="23"/>
      <c r="E17" s="28">
        <v>377.0</v>
      </c>
      <c r="F17" s="28"/>
      <c r="G17" s="28"/>
      <c r="H17" s="101"/>
      <c r="I17" s="105"/>
      <c r="J17" s="105"/>
      <c r="K17" s="61">
        <f t="shared" si="1"/>
        <v>94.25</v>
      </c>
      <c r="L17" s="61">
        <f t="shared" si="2"/>
        <v>0</v>
      </c>
      <c r="M17" s="61">
        <f t="shared" si="3"/>
        <v>94.25</v>
      </c>
    </row>
    <row r="18">
      <c r="A18" s="61"/>
      <c r="B18" s="23"/>
      <c r="C18" s="23"/>
      <c r="D18" s="23"/>
      <c r="E18" s="28"/>
      <c r="F18" s="28"/>
      <c r="G18" s="28"/>
      <c r="H18" s="101"/>
      <c r="I18" s="105"/>
      <c r="J18" s="105"/>
      <c r="K18" s="61">
        <f t="shared" si="1"/>
        <v>0</v>
      </c>
      <c r="L18" s="61">
        <f t="shared" si="2"/>
        <v>0</v>
      </c>
      <c r="M18" s="61">
        <f t="shared" si="3"/>
        <v>0</v>
      </c>
    </row>
    <row r="19">
      <c r="A19" s="61"/>
      <c r="B19" s="23"/>
      <c r="C19" s="23"/>
      <c r="D19" s="23"/>
      <c r="E19" s="28"/>
      <c r="F19" s="28"/>
      <c r="G19" s="28"/>
      <c r="H19" s="29"/>
      <c r="I19" s="105"/>
      <c r="J19" s="105"/>
      <c r="K19" s="61">
        <f t="shared" si="1"/>
        <v>0</v>
      </c>
      <c r="L19" s="61">
        <f t="shared" si="2"/>
        <v>0</v>
      </c>
      <c r="M19" s="61">
        <f t="shared" si="3"/>
        <v>0</v>
      </c>
    </row>
    <row r="20">
      <c r="A20" s="32"/>
      <c r="B20" s="23"/>
      <c r="C20" s="23"/>
      <c r="D20" s="23"/>
      <c r="E20" s="28"/>
      <c r="F20" s="28"/>
      <c r="G20" s="28"/>
      <c r="H20" s="29"/>
      <c r="I20" s="17"/>
      <c r="J20" s="17"/>
      <c r="K20" s="61">
        <f t="shared" si="1"/>
        <v>0</v>
      </c>
      <c r="L20" s="61">
        <f t="shared" si="2"/>
        <v>0</v>
      </c>
      <c r="M20" s="61">
        <f t="shared" si="3"/>
        <v>0</v>
      </c>
    </row>
    <row r="21">
      <c r="A21" s="32"/>
      <c r="B21" s="108"/>
      <c r="C21" s="108"/>
      <c r="D21" s="23"/>
      <c r="E21" s="28"/>
      <c r="F21" s="28"/>
      <c r="G21" s="28"/>
      <c r="H21" s="112"/>
      <c r="I21" s="114"/>
      <c r="J21" s="114"/>
      <c r="K21" s="61">
        <f t="shared" si="1"/>
        <v>0</v>
      </c>
      <c r="L21" s="61">
        <f t="shared" si="2"/>
        <v>0</v>
      </c>
      <c r="M21" s="61">
        <f t="shared" si="3"/>
        <v>0</v>
      </c>
    </row>
    <row r="22">
      <c r="A22" s="32"/>
      <c r="B22" s="23"/>
      <c r="C22" s="23"/>
      <c r="D22" s="23"/>
      <c r="E22" s="28"/>
      <c r="F22" s="28"/>
      <c r="G22" s="28"/>
      <c r="H22" s="101"/>
      <c r="I22" s="105"/>
      <c r="J22" s="105"/>
      <c r="K22" s="61">
        <f t="shared" si="1"/>
        <v>0</v>
      </c>
      <c r="L22" s="61">
        <f t="shared" si="2"/>
        <v>0</v>
      </c>
      <c r="M22" s="61">
        <f t="shared" si="3"/>
        <v>0</v>
      </c>
    </row>
    <row r="23">
      <c r="A23" s="61"/>
      <c r="B23" s="23"/>
      <c r="C23" s="23"/>
      <c r="D23" s="23"/>
      <c r="E23" s="28"/>
      <c r="F23" s="28"/>
      <c r="G23" s="28"/>
      <c r="H23" s="101"/>
      <c r="I23" s="105"/>
      <c r="J23" s="105"/>
      <c r="K23" s="61">
        <f t="shared" si="1"/>
        <v>0</v>
      </c>
      <c r="L23" s="61">
        <f t="shared" si="2"/>
        <v>0</v>
      </c>
      <c r="M23" s="61">
        <f t="shared" si="3"/>
        <v>0</v>
      </c>
    </row>
    <row r="24">
      <c r="A24" s="32"/>
      <c r="B24" s="108"/>
      <c r="C24" s="108"/>
      <c r="D24" s="23"/>
      <c r="E24" s="28"/>
      <c r="F24" s="28"/>
      <c r="G24" s="28"/>
      <c r="H24" s="112"/>
      <c r="I24" s="112"/>
      <c r="J24" s="112"/>
      <c r="K24" s="61">
        <f t="shared" si="1"/>
        <v>0</v>
      </c>
      <c r="L24" s="61">
        <f t="shared" si="2"/>
        <v>0</v>
      </c>
      <c r="M24" s="61">
        <f t="shared" si="3"/>
        <v>0</v>
      </c>
    </row>
    <row r="25">
      <c r="A25" s="61"/>
      <c r="B25" s="23"/>
      <c r="C25" s="23"/>
      <c r="D25" s="23"/>
      <c r="E25" s="28"/>
      <c r="F25" s="28"/>
      <c r="G25" s="28"/>
      <c r="H25" s="105"/>
      <c r="I25" s="105"/>
      <c r="J25" s="105"/>
      <c r="K25" s="61">
        <f t="shared" si="1"/>
        <v>0</v>
      </c>
      <c r="L25" s="61">
        <f t="shared" si="2"/>
        <v>0</v>
      </c>
      <c r="M25" s="61">
        <f t="shared" si="3"/>
        <v>0</v>
      </c>
    </row>
    <row r="26">
      <c r="A26" s="61"/>
      <c r="B26" s="108"/>
      <c r="C26" s="108"/>
      <c r="D26" s="23"/>
      <c r="E26" s="28"/>
      <c r="F26" s="28"/>
      <c r="G26" s="28"/>
      <c r="H26" s="112"/>
      <c r="I26" s="114"/>
      <c r="J26" s="114"/>
      <c r="K26" s="61">
        <f t="shared" si="1"/>
        <v>0</v>
      </c>
      <c r="L26" s="61">
        <f t="shared" si="2"/>
        <v>0</v>
      </c>
      <c r="M26" s="61">
        <f t="shared" si="3"/>
        <v>0</v>
      </c>
    </row>
    <row r="27">
      <c r="A27" s="61"/>
      <c r="B27" s="23"/>
      <c r="C27" s="23"/>
      <c r="D27" s="23"/>
      <c r="E27" s="28"/>
      <c r="F27" s="28"/>
      <c r="G27" s="28"/>
      <c r="H27" s="47"/>
      <c r="I27" s="105"/>
      <c r="J27" s="105"/>
      <c r="K27" s="61">
        <f t="shared" si="1"/>
        <v>0</v>
      </c>
      <c r="L27" s="61">
        <f t="shared" si="2"/>
        <v>0</v>
      </c>
      <c r="M27" s="61">
        <f t="shared" si="3"/>
        <v>0</v>
      </c>
    </row>
    <row r="28">
      <c r="A28" s="32"/>
      <c r="B28" s="23"/>
      <c r="C28" s="23"/>
      <c r="D28" s="23"/>
      <c r="E28" s="28"/>
      <c r="F28" s="28"/>
      <c r="G28" s="28"/>
      <c r="H28" s="105"/>
      <c r="I28" s="105"/>
      <c r="J28" s="105"/>
      <c r="K28" s="61">
        <f t="shared" si="1"/>
        <v>0</v>
      </c>
      <c r="L28" s="61">
        <f t="shared" si="2"/>
        <v>0</v>
      </c>
      <c r="M28" s="61">
        <f t="shared" si="3"/>
        <v>0</v>
      </c>
    </row>
    <row r="29">
      <c r="A29" s="32"/>
      <c r="B29" s="108"/>
      <c r="C29" s="108"/>
      <c r="D29" s="108"/>
      <c r="E29" s="28"/>
      <c r="F29" s="28"/>
      <c r="G29" s="28"/>
      <c r="H29" s="112"/>
      <c r="I29" s="114"/>
      <c r="J29" s="114"/>
      <c r="K29" s="61">
        <f t="shared" si="1"/>
        <v>0</v>
      </c>
      <c r="L29" s="61">
        <f t="shared" si="2"/>
        <v>0</v>
      </c>
      <c r="M29" s="61">
        <f t="shared" si="3"/>
        <v>0</v>
      </c>
    </row>
    <row r="30">
      <c r="A30" s="61"/>
      <c r="B30" s="23"/>
      <c r="C30" s="23"/>
      <c r="D30" s="23"/>
      <c r="E30" s="28"/>
      <c r="F30" s="28"/>
      <c r="G30" s="28"/>
      <c r="H30" s="101"/>
      <c r="I30" s="105"/>
      <c r="J30" s="105"/>
      <c r="K30" s="61">
        <f t="shared" si="1"/>
        <v>0</v>
      </c>
      <c r="L30" s="61">
        <f t="shared" si="2"/>
        <v>0</v>
      </c>
      <c r="M30" s="61">
        <f t="shared" si="3"/>
        <v>0</v>
      </c>
    </row>
    <row r="31">
      <c r="A31" s="61"/>
      <c r="B31" s="23"/>
      <c r="C31" s="23"/>
      <c r="D31" s="23"/>
      <c r="E31" s="28"/>
      <c r="F31" s="28"/>
      <c r="G31" s="28"/>
      <c r="H31" s="101"/>
      <c r="I31" s="105"/>
      <c r="J31" s="105"/>
      <c r="K31" s="61">
        <f t="shared" si="1"/>
        <v>0</v>
      </c>
      <c r="L31" s="61">
        <f t="shared" si="2"/>
        <v>0</v>
      </c>
      <c r="M31" s="61">
        <f t="shared" si="3"/>
        <v>0</v>
      </c>
    </row>
    <row r="32">
      <c r="A32" s="32"/>
      <c r="B32" s="108"/>
      <c r="C32" s="108"/>
      <c r="D32" s="108"/>
      <c r="E32" s="28"/>
      <c r="F32" s="28"/>
      <c r="G32" s="28"/>
      <c r="H32" s="114"/>
      <c r="I32" s="114"/>
      <c r="J32" s="114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61"/>
      <c r="B33" s="108"/>
      <c r="C33" s="108"/>
      <c r="D33" s="108"/>
      <c r="E33" s="28"/>
      <c r="F33" s="28"/>
      <c r="G33" s="28"/>
      <c r="H33" s="112"/>
      <c r="I33" s="114"/>
      <c r="J33" s="114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32"/>
      <c r="B34" s="115"/>
      <c r="C34" s="115"/>
      <c r="D34" s="115"/>
      <c r="E34" s="118"/>
      <c r="F34" s="118"/>
      <c r="G34" s="118"/>
      <c r="H34" s="119"/>
      <c r="I34" s="119"/>
      <c r="J34" s="119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101"/>
      <c r="I35" s="105"/>
      <c r="J35" s="105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61"/>
      <c r="B36" s="23"/>
      <c r="C36" s="23"/>
      <c r="D36" s="23"/>
      <c r="E36" s="28"/>
      <c r="F36" s="28"/>
      <c r="G36" s="28"/>
      <c r="H36" s="101"/>
      <c r="I36" s="105"/>
      <c r="J36" s="105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115"/>
      <c r="C37" s="115"/>
      <c r="D37" s="115"/>
      <c r="E37" s="118"/>
      <c r="F37" s="120"/>
      <c r="G37" s="120"/>
      <c r="H37" s="119"/>
      <c r="I37" s="119"/>
      <c r="J37" s="119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32"/>
      <c r="B38" s="23"/>
      <c r="C38" s="23"/>
      <c r="D38" s="23"/>
      <c r="E38" s="28"/>
      <c r="F38" s="28"/>
      <c r="G38" s="28"/>
      <c r="H38" s="47"/>
      <c r="I38" s="105"/>
      <c r="J38" s="105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61"/>
      <c r="B39" s="108"/>
      <c r="C39" s="108"/>
      <c r="D39" s="108"/>
      <c r="E39" s="28"/>
      <c r="F39" s="28"/>
      <c r="G39" s="28"/>
      <c r="H39" s="114"/>
      <c r="I39" s="114"/>
      <c r="J39" s="114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4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32"/>
      <c r="B41" s="31"/>
      <c r="C41" s="31"/>
      <c r="D41" s="31"/>
      <c r="E41" s="28"/>
      <c r="F41" s="28"/>
      <c r="G41" s="28"/>
      <c r="H41" s="112"/>
      <c r="I41" s="114"/>
      <c r="J41" s="114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32"/>
      <c r="B42" s="115"/>
      <c r="C42" s="115"/>
      <c r="D42" s="115"/>
      <c r="E42" s="118"/>
      <c r="F42" s="120"/>
      <c r="G42" s="120"/>
      <c r="H42" s="119"/>
      <c r="I42" s="119"/>
      <c r="J42" s="119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61"/>
      <c r="B43" s="108"/>
      <c r="C43" s="108"/>
      <c r="D43" s="108"/>
      <c r="E43" s="28"/>
      <c r="F43" s="28"/>
      <c r="G43" s="28"/>
      <c r="H43" s="114"/>
      <c r="I43" s="114"/>
      <c r="J43" s="114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32"/>
      <c r="B44" s="31"/>
      <c r="C44" s="31"/>
      <c r="D44" s="31"/>
      <c r="E44" s="28"/>
      <c r="F44" s="28"/>
      <c r="G44" s="28"/>
      <c r="H44" s="112"/>
      <c r="I44" s="114"/>
      <c r="J44" s="114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61"/>
      <c r="B45" s="23"/>
      <c r="C45" s="23"/>
      <c r="D45" s="23"/>
      <c r="E45" s="28"/>
      <c r="F45" s="28"/>
      <c r="G45" s="28"/>
      <c r="H45" s="105"/>
      <c r="I45" s="105"/>
      <c r="J45" s="105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61"/>
      <c r="B46" s="108"/>
      <c r="C46" s="121"/>
      <c r="D46" s="121"/>
      <c r="E46" s="28"/>
      <c r="F46" s="28"/>
      <c r="G46" s="28"/>
      <c r="H46" s="114"/>
      <c r="I46" s="114"/>
      <c r="J46" s="114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15"/>
      <c r="C47" s="115"/>
      <c r="D47" s="115"/>
      <c r="E47" s="118"/>
      <c r="F47" s="120"/>
      <c r="G47" s="120"/>
      <c r="H47" s="119"/>
      <c r="I47" s="119"/>
      <c r="J47" s="119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32"/>
      <c r="B48" s="23"/>
      <c r="C48" s="23"/>
      <c r="D48" s="23"/>
      <c r="E48" s="28"/>
      <c r="F48" s="28"/>
      <c r="G48" s="28"/>
      <c r="H48" s="105"/>
      <c r="I48" s="105"/>
      <c r="J48" s="105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32"/>
      <c r="B49" s="115"/>
      <c r="C49" s="115"/>
      <c r="D49" s="115"/>
      <c r="E49" s="118"/>
      <c r="F49" s="120"/>
      <c r="G49" s="120"/>
      <c r="H49" s="119"/>
      <c r="I49" s="119"/>
      <c r="J49" s="119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61"/>
      <c r="B50" s="108"/>
      <c r="C50" s="108"/>
      <c r="D50" s="108"/>
      <c r="E50" s="28"/>
      <c r="F50" s="28"/>
      <c r="G50" s="28"/>
      <c r="H50" s="114"/>
      <c r="I50" s="114"/>
      <c r="J50" s="114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32"/>
      <c r="B51" s="31"/>
      <c r="C51" s="31"/>
      <c r="D51" s="31"/>
      <c r="E51" s="28"/>
      <c r="F51" s="28"/>
      <c r="G51" s="28"/>
      <c r="H51" s="112"/>
      <c r="I51" s="114"/>
      <c r="J51" s="114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61"/>
      <c r="B52" s="23"/>
      <c r="C52" s="23"/>
      <c r="D52" s="23"/>
      <c r="E52" s="28"/>
      <c r="F52" s="28"/>
      <c r="G52" s="28"/>
      <c r="H52" s="105"/>
      <c r="I52" s="105"/>
      <c r="J52" s="105"/>
      <c r="K52" s="61">
        <f t="shared" si="1"/>
        <v>0</v>
      </c>
      <c r="L52" s="61">
        <f t="shared" si="2"/>
        <v>0</v>
      </c>
      <c r="M52" s="61">
        <f t="shared" si="3"/>
        <v>0</v>
      </c>
    </row>
    <row r="53">
      <c r="A53" s="32"/>
      <c r="B53" s="108"/>
      <c r="C53" s="108"/>
      <c r="D53" s="108"/>
      <c r="E53" s="28"/>
      <c r="F53" s="28"/>
      <c r="G53" s="28"/>
      <c r="H53" s="112"/>
      <c r="I53" s="114"/>
      <c r="J53" s="114"/>
      <c r="K53" s="61">
        <f t="shared" si="1"/>
        <v>0</v>
      </c>
      <c r="L53" s="61">
        <f t="shared" si="2"/>
        <v>0</v>
      </c>
      <c r="M53" s="61">
        <f t="shared" si="3"/>
        <v>0</v>
      </c>
    </row>
    <row r="54">
      <c r="A54" s="61"/>
      <c r="B54" s="23"/>
      <c r="C54" s="23"/>
      <c r="D54" s="23"/>
      <c r="E54" s="28"/>
      <c r="F54" s="28"/>
      <c r="G54" s="28"/>
      <c r="H54" s="105"/>
      <c r="I54" s="105"/>
      <c r="J54" s="105"/>
      <c r="K54" s="61">
        <f t="shared" si="1"/>
        <v>0</v>
      </c>
      <c r="L54" s="61">
        <f t="shared" si="2"/>
        <v>0</v>
      </c>
      <c r="M54" s="61">
        <f t="shared" si="3"/>
        <v>0</v>
      </c>
    </row>
    <row r="55">
      <c r="A55" s="32"/>
      <c r="B55" s="31"/>
      <c r="C55" s="31"/>
      <c r="D55" s="31"/>
      <c r="E55" s="28"/>
      <c r="F55" s="28"/>
      <c r="G55" s="28"/>
      <c r="H55" s="112"/>
      <c r="I55" s="114"/>
      <c r="J55" s="114"/>
      <c r="K55" s="61">
        <f t="shared" si="1"/>
        <v>0</v>
      </c>
      <c r="L55" s="61">
        <f t="shared" si="2"/>
        <v>0</v>
      </c>
      <c r="M55" s="61">
        <f t="shared" si="3"/>
        <v>0</v>
      </c>
    </row>
  </sheetData>
  <autoFilter ref="$A$4:$M$55">
    <sortState ref="A4:M55">
      <sortCondition descending="1" ref="M4:M55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63"/>
    <col customWidth="1" min="5" max="8" width="6.0"/>
    <col customWidth="1" min="9" max="10" width="5.25"/>
  </cols>
  <sheetData>
    <row r="2">
      <c r="A2" s="1"/>
    </row>
    <row r="3">
      <c r="A3" s="2"/>
      <c r="B3" s="3"/>
      <c r="C3" s="3"/>
      <c r="D3" s="3"/>
      <c r="E3" s="8" t="s">
        <v>230</v>
      </c>
      <c r="F3" s="5"/>
      <c r="G3" s="6"/>
      <c r="H3" s="9" t="s">
        <v>3</v>
      </c>
      <c r="I3" s="5"/>
      <c r="J3" s="6"/>
      <c r="K3" s="90"/>
      <c r="L3" s="90"/>
      <c r="M3" s="3"/>
    </row>
    <row r="4">
      <c r="A4" s="99" t="s">
        <v>4</v>
      </c>
      <c r="B4" s="99" t="s">
        <v>5</v>
      </c>
      <c r="C4" s="99" t="s">
        <v>6</v>
      </c>
      <c r="D4" s="19" t="s">
        <v>219</v>
      </c>
      <c r="E4" s="16" t="s">
        <v>8</v>
      </c>
      <c r="F4" s="16" t="s">
        <v>9</v>
      </c>
      <c r="G4" s="16" t="s">
        <v>10</v>
      </c>
      <c r="H4" s="17" t="s">
        <v>8</v>
      </c>
      <c r="I4" s="17" t="s">
        <v>9</v>
      </c>
      <c r="J4" s="17" t="s">
        <v>10</v>
      </c>
      <c r="K4" s="18" t="s">
        <v>11</v>
      </c>
      <c r="L4" s="19" t="s">
        <v>12</v>
      </c>
      <c r="M4" s="20" t="s">
        <v>13</v>
      </c>
    </row>
    <row r="5">
      <c r="A5" s="32"/>
      <c r="B5" s="23" t="s">
        <v>406</v>
      </c>
      <c r="C5" s="23" t="s">
        <v>18</v>
      </c>
      <c r="D5" s="23" t="s">
        <v>40</v>
      </c>
      <c r="E5" s="28">
        <v>633.0</v>
      </c>
      <c r="F5" s="28">
        <v>6.0</v>
      </c>
      <c r="G5" s="28">
        <v>20.0</v>
      </c>
      <c r="H5" s="29"/>
      <c r="I5" s="45"/>
      <c r="J5" s="45"/>
      <c r="K5" s="61">
        <f t="shared" ref="K5:K55" si="1">(H5+E5)/4</f>
        <v>158.25</v>
      </c>
      <c r="L5" s="61">
        <f t="shared" ref="L5:L55" si="2">J5+G5</f>
        <v>20</v>
      </c>
      <c r="M5" s="61">
        <f t="shared" ref="M5:M55" si="3">K5+L5</f>
        <v>178.25</v>
      </c>
    </row>
    <row r="6">
      <c r="A6" s="32"/>
      <c r="B6" s="23" t="s">
        <v>403</v>
      </c>
      <c r="C6" s="23" t="s">
        <v>39</v>
      </c>
      <c r="D6" s="23"/>
      <c r="E6" s="123">
        <v>631.0</v>
      </c>
      <c r="F6" s="28">
        <v>8.0</v>
      </c>
      <c r="G6" s="28">
        <v>5.0</v>
      </c>
      <c r="H6" s="29"/>
      <c r="I6" s="105"/>
      <c r="J6" s="105"/>
      <c r="K6" s="61">
        <f t="shared" si="1"/>
        <v>157.75</v>
      </c>
      <c r="L6" s="61">
        <f t="shared" si="2"/>
        <v>5</v>
      </c>
      <c r="M6" s="61">
        <f t="shared" si="3"/>
        <v>162.75</v>
      </c>
    </row>
    <row r="7">
      <c r="A7" s="32"/>
      <c r="B7" s="23" t="s">
        <v>419</v>
      </c>
      <c r="C7" s="23" t="s">
        <v>36</v>
      </c>
      <c r="D7" s="23" t="s">
        <v>21</v>
      </c>
      <c r="E7" s="28">
        <v>609.0</v>
      </c>
      <c r="F7" s="28"/>
      <c r="G7" s="28"/>
      <c r="H7" s="101"/>
      <c r="I7" s="105"/>
      <c r="J7" s="105"/>
      <c r="K7" s="61">
        <f t="shared" si="1"/>
        <v>152.25</v>
      </c>
      <c r="L7" s="61">
        <f t="shared" si="2"/>
        <v>0</v>
      </c>
      <c r="M7" s="61">
        <f t="shared" si="3"/>
        <v>152.25</v>
      </c>
    </row>
    <row r="8">
      <c r="A8" s="32"/>
      <c r="B8" s="23" t="s">
        <v>418</v>
      </c>
      <c r="C8" s="23" t="s">
        <v>36</v>
      </c>
      <c r="D8" s="23" t="s">
        <v>21</v>
      </c>
      <c r="E8" s="28">
        <v>589.0</v>
      </c>
      <c r="F8" s="28"/>
      <c r="G8" s="28"/>
      <c r="H8" s="29"/>
      <c r="I8" s="105"/>
      <c r="J8" s="105"/>
      <c r="K8" s="61">
        <f t="shared" si="1"/>
        <v>147.25</v>
      </c>
      <c r="L8" s="61">
        <f t="shared" si="2"/>
        <v>0</v>
      </c>
      <c r="M8" s="61">
        <f t="shared" si="3"/>
        <v>147.25</v>
      </c>
    </row>
    <row r="9">
      <c r="A9" s="61"/>
      <c r="B9" s="108" t="s">
        <v>417</v>
      </c>
      <c r="C9" s="108" t="s">
        <v>39</v>
      </c>
      <c r="D9" s="108"/>
      <c r="E9" s="28">
        <v>585.0</v>
      </c>
      <c r="F9" s="28"/>
      <c r="G9" s="28"/>
      <c r="H9" s="112"/>
      <c r="I9" s="112"/>
      <c r="J9" s="112"/>
      <c r="K9" s="61">
        <f t="shared" si="1"/>
        <v>146.25</v>
      </c>
      <c r="L9" s="61">
        <f t="shared" si="2"/>
        <v>0</v>
      </c>
      <c r="M9" s="61">
        <f t="shared" si="3"/>
        <v>146.25</v>
      </c>
    </row>
    <row r="10">
      <c r="A10" s="32"/>
      <c r="B10" s="23" t="s">
        <v>422</v>
      </c>
      <c r="C10" s="23" t="s">
        <v>15</v>
      </c>
      <c r="D10" s="23"/>
      <c r="E10" s="28">
        <v>565.0</v>
      </c>
      <c r="F10" s="28"/>
      <c r="G10" s="28"/>
      <c r="H10" s="29"/>
      <c r="I10" s="17"/>
      <c r="J10" s="17"/>
      <c r="K10" s="61">
        <f t="shared" si="1"/>
        <v>141.25</v>
      </c>
      <c r="L10" s="61">
        <f t="shared" si="2"/>
        <v>0</v>
      </c>
      <c r="M10" s="61">
        <f t="shared" si="3"/>
        <v>141.25</v>
      </c>
    </row>
    <row r="11">
      <c r="A11" s="61"/>
      <c r="B11" s="23" t="s">
        <v>356</v>
      </c>
      <c r="C11" s="23" t="s">
        <v>32</v>
      </c>
      <c r="D11" s="23" t="s">
        <v>34</v>
      </c>
      <c r="E11" s="28">
        <v>561.0</v>
      </c>
      <c r="F11" s="28"/>
      <c r="G11" s="28"/>
      <c r="H11" s="101"/>
      <c r="I11" s="105"/>
      <c r="J11" s="105"/>
      <c r="K11" s="61">
        <f t="shared" si="1"/>
        <v>140.25</v>
      </c>
      <c r="L11" s="61">
        <f t="shared" si="2"/>
        <v>0</v>
      </c>
      <c r="M11" s="61">
        <f t="shared" si="3"/>
        <v>140.25</v>
      </c>
    </row>
    <row r="12">
      <c r="A12" s="32"/>
      <c r="B12" s="23" t="s">
        <v>410</v>
      </c>
      <c r="C12" s="23" t="s">
        <v>168</v>
      </c>
      <c r="D12" s="23"/>
      <c r="E12" s="28">
        <v>557.0</v>
      </c>
      <c r="F12" s="28"/>
      <c r="G12" s="28"/>
      <c r="H12" s="29"/>
      <c r="I12" s="101"/>
      <c r="J12" s="101"/>
      <c r="K12" s="61">
        <f t="shared" si="1"/>
        <v>139.25</v>
      </c>
      <c r="L12" s="61">
        <f t="shared" si="2"/>
        <v>0</v>
      </c>
      <c r="M12" s="61">
        <f t="shared" si="3"/>
        <v>139.25</v>
      </c>
    </row>
    <row r="13">
      <c r="A13" s="32"/>
      <c r="B13" s="23" t="s">
        <v>343</v>
      </c>
      <c r="C13" s="23" t="s">
        <v>32</v>
      </c>
      <c r="D13" s="23" t="s">
        <v>34</v>
      </c>
      <c r="E13" s="28">
        <v>555.0</v>
      </c>
      <c r="F13" s="28"/>
      <c r="G13" s="28"/>
      <c r="H13" s="29"/>
      <c r="I13" s="17"/>
      <c r="J13" s="17"/>
      <c r="K13" s="61">
        <f t="shared" si="1"/>
        <v>138.75</v>
      </c>
      <c r="L13" s="61">
        <f t="shared" si="2"/>
        <v>0</v>
      </c>
      <c r="M13" s="61">
        <f t="shared" si="3"/>
        <v>138.75</v>
      </c>
    </row>
    <row r="14">
      <c r="A14" s="61"/>
      <c r="B14" s="23" t="s">
        <v>347</v>
      </c>
      <c r="C14" s="23" t="s">
        <v>32</v>
      </c>
      <c r="D14" s="23"/>
      <c r="E14" s="28">
        <v>528.0</v>
      </c>
      <c r="F14" s="28"/>
      <c r="G14" s="28"/>
      <c r="H14" s="29"/>
      <c r="I14" s="105"/>
      <c r="J14" s="105"/>
      <c r="K14" s="61">
        <f t="shared" si="1"/>
        <v>132</v>
      </c>
      <c r="L14" s="61">
        <f t="shared" si="2"/>
        <v>0</v>
      </c>
      <c r="M14" s="61">
        <f t="shared" si="3"/>
        <v>132</v>
      </c>
    </row>
    <row r="15">
      <c r="A15" s="32"/>
      <c r="B15" s="23" t="s">
        <v>425</v>
      </c>
      <c r="C15" s="23" t="s">
        <v>18</v>
      </c>
      <c r="D15" s="23"/>
      <c r="E15" s="113">
        <v>528.0</v>
      </c>
      <c r="F15" s="28"/>
      <c r="G15" s="28"/>
      <c r="H15" s="47"/>
      <c r="I15" s="17"/>
      <c r="J15" s="17"/>
      <c r="K15" s="61">
        <f t="shared" si="1"/>
        <v>132</v>
      </c>
      <c r="L15" s="61">
        <f t="shared" si="2"/>
        <v>0</v>
      </c>
      <c r="M15" s="61">
        <f t="shared" si="3"/>
        <v>132</v>
      </c>
    </row>
    <row r="16">
      <c r="A16" s="61"/>
      <c r="B16" s="23" t="s">
        <v>435</v>
      </c>
      <c r="C16" s="23" t="s">
        <v>36</v>
      </c>
      <c r="D16" s="23"/>
      <c r="E16" s="28">
        <v>508.0</v>
      </c>
      <c r="F16" s="28"/>
      <c r="G16" s="28"/>
      <c r="H16" s="101"/>
      <c r="I16" s="105"/>
      <c r="J16" s="105"/>
      <c r="K16" s="61">
        <f t="shared" si="1"/>
        <v>127</v>
      </c>
      <c r="L16" s="61">
        <f t="shared" si="2"/>
        <v>0</v>
      </c>
      <c r="M16" s="61">
        <f t="shared" si="3"/>
        <v>127</v>
      </c>
    </row>
    <row r="17">
      <c r="A17" s="61"/>
      <c r="B17" s="23" t="s">
        <v>436</v>
      </c>
      <c r="C17" s="23" t="s">
        <v>168</v>
      </c>
      <c r="D17" s="23"/>
      <c r="E17" s="28">
        <v>456.0</v>
      </c>
      <c r="F17" s="28"/>
      <c r="G17" s="28"/>
      <c r="H17" s="101"/>
      <c r="I17" s="105"/>
      <c r="J17" s="105"/>
      <c r="K17" s="61">
        <f t="shared" si="1"/>
        <v>114</v>
      </c>
      <c r="L17" s="61">
        <f t="shared" si="2"/>
        <v>0</v>
      </c>
      <c r="M17" s="61">
        <f t="shared" si="3"/>
        <v>114</v>
      </c>
    </row>
    <row r="18">
      <c r="A18" s="61"/>
      <c r="B18" s="23" t="s">
        <v>437</v>
      </c>
      <c r="C18" s="23" t="s">
        <v>67</v>
      </c>
      <c r="D18" s="23"/>
      <c r="E18" s="28">
        <v>375.0</v>
      </c>
      <c r="F18" s="28"/>
      <c r="G18" s="28"/>
      <c r="H18" s="101"/>
      <c r="I18" s="105"/>
      <c r="J18" s="105"/>
      <c r="K18" s="61">
        <f t="shared" si="1"/>
        <v>93.75</v>
      </c>
      <c r="L18" s="61">
        <f t="shared" si="2"/>
        <v>0</v>
      </c>
      <c r="M18" s="61">
        <f t="shared" si="3"/>
        <v>93.75</v>
      </c>
    </row>
    <row r="19">
      <c r="A19" s="61"/>
      <c r="B19" s="23"/>
      <c r="C19" s="23"/>
      <c r="D19" s="23"/>
      <c r="E19" s="28"/>
      <c r="F19" s="28"/>
      <c r="G19" s="28"/>
      <c r="H19" s="29"/>
      <c r="I19" s="105"/>
      <c r="J19" s="105"/>
      <c r="K19" s="61">
        <f t="shared" si="1"/>
        <v>0</v>
      </c>
      <c r="L19" s="61">
        <f t="shared" si="2"/>
        <v>0</v>
      </c>
      <c r="M19" s="61">
        <f t="shared" si="3"/>
        <v>0</v>
      </c>
    </row>
    <row r="20">
      <c r="A20" s="32"/>
      <c r="B20" s="23"/>
      <c r="C20" s="23"/>
      <c r="D20" s="23"/>
      <c r="E20" s="28"/>
      <c r="F20" s="28"/>
      <c r="G20" s="28"/>
      <c r="H20" s="29"/>
      <c r="I20" s="17"/>
      <c r="J20" s="17"/>
      <c r="K20" s="61">
        <f t="shared" si="1"/>
        <v>0</v>
      </c>
      <c r="L20" s="61">
        <f t="shared" si="2"/>
        <v>0</v>
      </c>
      <c r="M20" s="61">
        <f t="shared" si="3"/>
        <v>0</v>
      </c>
    </row>
    <row r="21">
      <c r="A21" s="32"/>
      <c r="B21" s="108"/>
      <c r="C21" s="108"/>
      <c r="D21" s="23"/>
      <c r="E21" s="28"/>
      <c r="F21" s="28"/>
      <c r="G21" s="28"/>
      <c r="H21" s="112"/>
      <c r="I21" s="114"/>
      <c r="J21" s="114"/>
      <c r="K21" s="61">
        <f t="shared" si="1"/>
        <v>0</v>
      </c>
      <c r="L21" s="61">
        <f t="shared" si="2"/>
        <v>0</v>
      </c>
      <c r="M21" s="61">
        <f t="shared" si="3"/>
        <v>0</v>
      </c>
    </row>
    <row r="22">
      <c r="A22" s="32"/>
      <c r="B22" s="23"/>
      <c r="C22" s="23"/>
      <c r="D22" s="23"/>
      <c r="E22" s="28"/>
      <c r="F22" s="28"/>
      <c r="G22" s="28"/>
      <c r="H22" s="101"/>
      <c r="I22" s="105"/>
      <c r="J22" s="105"/>
      <c r="K22" s="61">
        <f t="shared" si="1"/>
        <v>0</v>
      </c>
      <c r="L22" s="61">
        <f t="shared" si="2"/>
        <v>0</v>
      </c>
      <c r="M22" s="61">
        <f t="shared" si="3"/>
        <v>0</v>
      </c>
    </row>
    <row r="23">
      <c r="A23" s="61"/>
      <c r="B23" s="23"/>
      <c r="C23" s="23"/>
      <c r="D23" s="23"/>
      <c r="E23" s="28"/>
      <c r="F23" s="28"/>
      <c r="G23" s="28"/>
      <c r="H23" s="101"/>
      <c r="I23" s="105"/>
      <c r="J23" s="105"/>
      <c r="K23" s="61">
        <f t="shared" si="1"/>
        <v>0</v>
      </c>
      <c r="L23" s="61">
        <f t="shared" si="2"/>
        <v>0</v>
      </c>
      <c r="M23" s="61">
        <f t="shared" si="3"/>
        <v>0</v>
      </c>
    </row>
    <row r="24">
      <c r="A24" s="32"/>
      <c r="B24" s="108"/>
      <c r="C24" s="108"/>
      <c r="D24" s="23"/>
      <c r="E24" s="28"/>
      <c r="F24" s="28"/>
      <c r="G24" s="28"/>
      <c r="H24" s="112"/>
      <c r="I24" s="112"/>
      <c r="J24" s="112"/>
      <c r="K24" s="61">
        <f t="shared" si="1"/>
        <v>0</v>
      </c>
      <c r="L24" s="61">
        <f t="shared" si="2"/>
        <v>0</v>
      </c>
      <c r="M24" s="61">
        <f t="shared" si="3"/>
        <v>0</v>
      </c>
    </row>
    <row r="25">
      <c r="A25" s="61"/>
      <c r="B25" s="23"/>
      <c r="C25" s="23"/>
      <c r="D25" s="23"/>
      <c r="E25" s="28"/>
      <c r="F25" s="28"/>
      <c r="G25" s="28"/>
      <c r="H25" s="105"/>
      <c r="I25" s="105"/>
      <c r="J25" s="105"/>
      <c r="K25" s="61">
        <f t="shared" si="1"/>
        <v>0</v>
      </c>
      <c r="L25" s="61">
        <f t="shared" si="2"/>
        <v>0</v>
      </c>
      <c r="M25" s="61">
        <f t="shared" si="3"/>
        <v>0</v>
      </c>
    </row>
    <row r="26">
      <c r="A26" s="61"/>
      <c r="B26" s="108"/>
      <c r="C26" s="108"/>
      <c r="D26" s="23"/>
      <c r="E26" s="28"/>
      <c r="F26" s="28"/>
      <c r="G26" s="28"/>
      <c r="H26" s="112"/>
      <c r="I26" s="114"/>
      <c r="J26" s="114"/>
      <c r="K26" s="61">
        <f t="shared" si="1"/>
        <v>0</v>
      </c>
      <c r="L26" s="61">
        <f t="shared" si="2"/>
        <v>0</v>
      </c>
      <c r="M26" s="61">
        <f t="shared" si="3"/>
        <v>0</v>
      </c>
    </row>
    <row r="27">
      <c r="A27" s="61"/>
      <c r="B27" s="23"/>
      <c r="C27" s="23"/>
      <c r="D27" s="23"/>
      <c r="E27" s="28"/>
      <c r="F27" s="28"/>
      <c r="G27" s="28"/>
      <c r="H27" s="47"/>
      <c r="I27" s="105"/>
      <c r="J27" s="105"/>
      <c r="K27" s="61">
        <f t="shared" si="1"/>
        <v>0</v>
      </c>
      <c r="L27" s="61">
        <f t="shared" si="2"/>
        <v>0</v>
      </c>
      <c r="M27" s="61">
        <f t="shared" si="3"/>
        <v>0</v>
      </c>
    </row>
    <row r="28">
      <c r="A28" s="32"/>
      <c r="B28" s="23"/>
      <c r="C28" s="23"/>
      <c r="D28" s="23"/>
      <c r="E28" s="28"/>
      <c r="F28" s="28"/>
      <c r="G28" s="28"/>
      <c r="H28" s="105"/>
      <c r="I28" s="105"/>
      <c r="J28" s="105"/>
      <c r="K28" s="61">
        <f t="shared" si="1"/>
        <v>0</v>
      </c>
      <c r="L28" s="61">
        <f t="shared" si="2"/>
        <v>0</v>
      </c>
      <c r="M28" s="61">
        <f t="shared" si="3"/>
        <v>0</v>
      </c>
    </row>
    <row r="29">
      <c r="A29" s="32"/>
      <c r="B29" s="108"/>
      <c r="C29" s="108"/>
      <c r="D29" s="108"/>
      <c r="E29" s="28"/>
      <c r="F29" s="28"/>
      <c r="G29" s="28"/>
      <c r="H29" s="112"/>
      <c r="I29" s="114"/>
      <c r="J29" s="114"/>
      <c r="K29" s="61">
        <f t="shared" si="1"/>
        <v>0</v>
      </c>
      <c r="L29" s="61">
        <f t="shared" si="2"/>
        <v>0</v>
      </c>
      <c r="M29" s="61">
        <f t="shared" si="3"/>
        <v>0</v>
      </c>
    </row>
    <row r="30">
      <c r="A30" s="61"/>
      <c r="B30" s="23"/>
      <c r="C30" s="23"/>
      <c r="D30" s="23"/>
      <c r="E30" s="28"/>
      <c r="F30" s="28"/>
      <c r="G30" s="28"/>
      <c r="H30" s="101"/>
      <c r="I30" s="105"/>
      <c r="J30" s="105"/>
      <c r="K30" s="61">
        <f t="shared" si="1"/>
        <v>0</v>
      </c>
      <c r="L30" s="61">
        <f t="shared" si="2"/>
        <v>0</v>
      </c>
      <c r="M30" s="61">
        <f t="shared" si="3"/>
        <v>0</v>
      </c>
    </row>
    <row r="31">
      <c r="A31" s="61"/>
      <c r="B31" s="23"/>
      <c r="C31" s="23"/>
      <c r="D31" s="23"/>
      <c r="E31" s="28"/>
      <c r="F31" s="28"/>
      <c r="G31" s="28"/>
      <c r="H31" s="101"/>
      <c r="I31" s="105"/>
      <c r="J31" s="105"/>
      <c r="K31" s="61">
        <f t="shared" si="1"/>
        <v>0</v>
      </c>
      <c r="L31" s="61">
        <f t="shared" si="2"/>
        <v>0</v>
      </c>
      <c r="M31" s="61">
        <f t="shared" si="3"/>
        <v>0</v>
      </c>
    </row>
    <row r="32">
      <c r="A32" s="32"/>
      <c r="B32" s="108"/>
      <c r="C32" s="108"/>
      <c r="D32" s="108"/>
      <c r="E32" s="28"/>
      <c r="F32" s="28"/>
      <c r="G32" s="28"/>
      <c r="H32" s="114"/>
      <c r="I32" s="114"/>
      <c r="J32" s="114"/>
      <c r="K32" s="61">
        <f t="shared" si="1"/>
        <v>0</v>
      </c>
      <c r="L32" s="61">
        <f t="shared" si="2"/>
        <v>0</v>
      </c>
      <c r="M32" s="61">
        <f t="shared" si="3"/>
        <v>0</v>
      </c>
    </row>
    <row r="33">
      <c r="A33" s="61"/>
      <c r="B33" s="108"/>
      <c r="C33" s="108"/>
      <c r="D33" s="108"/>
      <c r="E33" s="28"/>
      <c r="F33" s="28"/>
      <c r="G33" s="28"/>
      <c r="H33" s="112"/>
      <c r="I33" s="114"/>
      <c r="J33" s="114"/>
      <c r="K33" s="61">
        <f t="shared" si="1"/>
        <v>0</v>
      </c>
      <c r="L33" s="61">
        <f t="shared" si="2"/>
        <v>0</v>
      </c>
      <c r="M33" s="61">
        <f t="shared" si="3"/>
        <v>0</v>
      </c>
    </row>
    <row r="34">
      <c r="A34" s="32"/>
      <c r="B34" s="115"/>
      <c r="C34" s="115"/>
      <c r="D34" s="115"/>
      <c r="E34" s="118"/>
      <c r="F34" s="118"/>
      <c r="G34" s="118"/>
      <c r="H34" s="119"/>
      <c r="I34" s="119"/>
      <c r="J34" s="119"/>
      <c r="K34" s="61">
        <f t="shared" si="1"/>
        <v>0</v>
      </c>
      <c r="L34" s="61">
        <f t="shared" si="2"/>
        <v>0</v>
      </c>
      <c r="M34" s="61">
        <f t="shared" si="3"/>
        <v>0</v>
      </c>
    </row>
    <row r="35">
      <c r="A35" s="32"/>
      <c r="B35" s="23"/>
      <c r="C35" s="23"/>
      <c r="D35" s="23"/>
      <c r="E35" s="28"/>
      <c r="F35" s="28"/>
      <c r="G35" s="28"/>
      <c r="H35" s="101"/>
      <c r="I35" s="105"/>
      <c r="J35" s="105"/>
      <c r="K35" s="61">
        <f t="shared" si="1"/>
        <v>0</v>
      </c>
      <c r="L35" s="61">
        <f t="shared" si="2"/>
        <v>0</v>
      </c>
      <c r="M35" s="61">
        <f t="shared" si="3"/>
        <v>0</v>
      </c>
    </row>
    <row r="36">
      <c r="A36" s="61"/>
      <c r="B36" s="23"/>
      <c r="C36" s="23"/>
      <c r="D36" s="23"/>
      <c r="E36" s="28"/>
      <c r="F36" s="28"/>
      <c r="G36" s="28"/>
      <c r="H36" s="101"/>
      <c r="I36" s="105"/>
      <c r="J36" s="105"/>
      <c r="K36" s="61">
        <f t="shared" si="1"/>
        <v>0</v>
      </c>
      <c r="L36" s="61">
        <f t="shared" si="2"/>
        <v>0</v>
      </c>
      <c r="M36" s="61">
        <f t="shared" si="3"/>
        <v>0</v>
      </c>
    </row>
    <row r="37">
      <c r="A37" s="61"/>
      <c r="B37" s="115"/>
      <c r="C37" s="115"/>
      <c r="D37" s="115"/>
      <c r="E37" s="118"/>
      <c r="F37" s="120"/>
      <c r="G37" s="120"/>
      <c r="H37" s="119"/>
      <c r="I37" s="119"/>
      <c r="J37" s="119"/>
      <c r="K37" s="61">
        <f t="shared" si="1"/>
        <v>0</v>
      </c>
      <c r="L37" s="61">
        <f t="shared" si="2"/>
        <v>0</v>
      </c>
      <c r="M37" s="61">
        <f t="shared" si="3"/>
        <v>0</v>
      </c>
    </row>
    <row r="38">
      <c r="A38" s="32"/>
      <c r="B38" s="23"/>
      <c r="C38" s="23"/>
      <c r="D38" s="23"/>
      <c r="E38" s="28"/>
      <c r="F38" s="28"/>
      <c r="G38" s="28"/>
      <c r="H38" s="47"/>
      <c r="I38" s="105"/>
      <c r="J38" s="105"/>
      <c r="K38" s="61">
        <f t="shared" si="1"/>
        <v>0</v>
      </c>
      <c r="L38" s="61">
        <f t="shared" si="2"/>
        <v>0</v>
      </c>
      <c r="M38" s="61">
        <f t="shared" si="3"/>
        <v>0</v>
      </c>
    </row>
    <row r="39">
      <c r="A39" s="61"/>
      <c r="B39" s="108"/>
      <c r="C39" s="108"/>
      <c r="D39" s="108"/>
      <c r="E39" s="28"/>
      <c r="F39" s="28"/>
      <c r="G39" s="28"/>
      <c r="H39" s="114"/>
      <c r="I39" s="114"/>
      <c r="J39" s="114"/>
      <c r="K39" s="61">
        <f t="shared" si="1"/>
        <v>0</v>
      </c>
      <c r="L39" s="61">
        <f t="shared" si="2"/>
        <v>0</v>
      </c>
      <c r="M39" s="61">
        <f t="shared" si="3"/>
        <v>0</v>
      </c>
    </row>
    <row r="40">
      <c r="A40" s="61"/>
      <c r="B40" s="108"/>
      <c r="C40" s="108"/>
      <c r="D40" s="108"/>
      <c r="E40" s="28"/>
      <c r="F40" s="28"/>
      <c r="G40" s="28"/>
      <c r="H40" s="114"/>
      <c r="I40" s="114"/>
      <c r="J40" s="114"/>
      <c r="K40" s="61">
        <f t="shared" si="1"/>
        <v>0</v>
      </c>
      <c r="L40" s="61">
        <f t="shared" si="2"/>
        <v>0</v>
      </c>
      <c r="M40" s="61">
        <f t="shared" si="3"/>
        <v>0</v>
      </c>
    </row>
    <row r="41">
      <c r="A41" s="32"/>
      <c r="B41" s="31"/>
      <c r="C41" s="31"/>
      <c r="D41" s="31"/>
      <c r="E41" s="28"/>
      <c r="F41" s="28"/>
      <c r="G41" s="28"/>
      <c r="H41" s="112"/>
      <c r="I41" s="114"/>
      <c r="J41" s="114"/>
      <c r="K41" s="61">
        <f t="shared" si="1"/>
        <v>0</v>
      </c>
      <c r="L41" s="61">
        <f t="shared" si="2"/>
        <v>0</v>
      </c>
      <c r="M41" s="61">
        <f t="shared" si="3"/>
        <v>0</v>
      </c>
    </row>
    <row r="42">
      <c r="A42" s="32"/>
      <c r="B42" s="115"/>
      <c r="C42" s="115"/>
      <c r="D42" s="115"/>
      <c r="E42" s="118"/>
      <c r="F42" s="120"/>
      <c r="G42" s="120"/>
      <c r="H42" s="119"/>
      <c r="I42" s="119"/>
      <c r="J42" s="119"/>
      <c r="K42" s="61">
        <f t="shared" si="1"/>
        <v>0</v>
      </c>
      <c r="L42" s="61">
        <f t="shared" si="2"/>
        <v>0</v>
      </c>
      <c r="M42" s="61">
        <f t="shared" si="3"/>
        <v>0</v>
      </c>
    </row>
    <row r="43">
      <c r="A43" s="61"/>
      <c r="B43" s="108"/>
      <c r="C43" s="108"/>
      <c r="D43" s="108"/>
      <c r="E43" s="28"/>
      <c r="F43" s="28"/>
      <c r="G43" s="28"/>
      <c r="H43" s="114"/>
      <c r="I43" s="114"/>
      <c r="J43" s="114"/>
      <c r="K43" s="61">
        <f t="shared" si="1"/>
        <v>0</v>
      </c>
      <c r="L43" s="61">
        <f t="shared" si="2"/>
        <v>0</v>
      </c>
      <c r="M43" s="61">
        <f t="shared" si="3"/>
        <v>0</v>
      </c>
    </row>
    <row r="44">
      <c r="A44" s="32"/>
      <c r="B44" s="31"/>
      <c r="C44" s="31"/>
      <c r="D44" s="31"/>
      <c r="E44" s="28"/>
      <c r="F44" s="28"/>
      <c r="G44" s="28"/>
      <c r="H44" s="112"/>
      <c r="I44" s="114"/>
      <c r="J44" s="114"/>
      <c r="K44" s="61">
        <f t="shared" si="1"/>
        <v>0</v>
      </c>
      <c r="L44" s="61">
        <f t="shared" si="2"/>
        <v>0</v>
      </c>
      <c r="M44" s="61">
        <f t="shared" si="3"/>
        <v>0</v>
      </c>
    </row>
    <row r="45">
      <c r="A45" s="61"/>
      <c r="B45" s="23"/>
      <c r="C45" s="23"/>
      <c r="D45" s="23"/>
      <c r="E45" s="28"/>
      <c r="F45" s="28"/>
      <c r="G45" s="28"/>
      <c r="H45" s="105"/>
      <c r="I45" s="105"/>
      <c r="J45" s="105"/>
      <c r="K45" s="61">
        <f t="shared" si="1"/>
        <v>0</v>
      </c>
      <c r="L45" s="61">
        <f t="shared" si="2"/>
        <v>0</v>
      </c>
      <c r="M45" s="61">
        <f t="shared" si="3"/>
        <v>0</v>
      </c>
    </row>
    <row r="46">
      <c r="A46" s="61"/>
      <c r="B46" s="108"/>
      <c r="C46" s="121"/>
      <c r="D46" s="121"/>
      <c r="E46" s="28"/>
      <c r="F46" s="28"/>
      <c r="G46" s="28"/>
      <c r="H46" s="114"/>
      <c r="I46" s="114"/>
      <c r="J46" s="114"/>
      <c r="K46" s="61">
        <f t="shared" si="1"/>
        <v>0</v>
      </c>
      <c r="L46" s="61">
        <f t="shared" si="2"/>
        <v>0</v>
      </c>
      <c r="M46" s="61">
        <f t="shared" si="3"/>
        <v>0</v>
      </c>
    </row>
    <row r="47">
      <c r="A47" s="61"/>
      <c r="B47" s="115"/>
      <c r="C47" s="115"/>
      <c r="D47" s="115"/>
      <c r="E47" s="118"/>
      <c r="F47" s="120"/>
      <c r="G47" s="120"/>
      <c r="H47" s="119"/>
      <c r="I47" s="119"/>
      <c r="J47" s="119"/>
      <c r="K47" s="61">
        <f t="shared" si="1"/>
        <v>0</v>
      </c>
      <c r="L47" s="61">
        <f t="shared" si="2"/>
        <v>0</v>
      </c>
      <c r="M47" s="61">
        <f t="shared" si="3"/>
        <v>0</v>
      </c>
    </row>
    <row r="48">
      <c r="A48" s="32"/>
      <c r="B48" s="23"/>
      <c r="C48" s="23"/>
      <c r="D48" s="23"/>
      <c r="E48" s="28"/>
      <c r="F48" s="28"/>
      <c r="G48" s="28"/>
      <c r="H48" s="105"/>
      <c r="I48" s="105"/>
      <c r="J48" s="105"/>
      <c r="K48" s="61">
        <f t="shared" si="1"/>
        <v>0</v>
      </c>
      <c r="L48" s="61">
        <f t="shared" si="2"/>
        <v>0</v>
      </c>
      <c r="M48" s="61">
        <f t="shared" si="3"/>
        <v>0</v>
      </c>
    </row>
    <row r="49">
      <c r="A49" s="32"/>
      <c r="B49" s="115"/>
      <c r="C49" s="115"/>
      <c r="D49" s="115"/>
      <c r="E49" s="118"/>
      <c r="F49" s="120"/>
      <c r="G49" s="120"/>
      <c r="H49" s="119"/>
      <c r="I49" s="119"/>
      <c r="J49" s="119"/>
      <c r="K49" s="61">
        <f t="shared" si="1"/>
        <v>0</v>
      </c>
      <c r="L49" s="61">
        <f t="shared" si="2"/>
        <v>0</v>
      </c>
      <c r="M49" s="61">
        <f t="shared" si="3"/>
        <v>0</v>
      </c>
    </row>
    <row r="50">
      <c r="A50" s="61"/>
      <c r="B50" s="108"/>
      <c r="C50" s="108"/>
      <c r="D50" s="108"/>
      <c r="E50" s="28"/>
      <c r="F50" s="28"/>
      <c r="G50" s="28"/>
      <c r="H50" s="114"/>
      <c r="I50" s="114"/>
      <c r="J50" s="114"/>
      <c r="K50" s="61">
        <f t="shared" si="1"/>
        <v>0</v>
      </c>
      <c r="L50" s="61">
        <f t="shared" si="2"/>
        <v>0</v>
      </c>
      <c r="M50" s="61">
        <f t="shared" si="3"/>
        <v>0</v>
      </c>
    </row>
    <row r="51">
      <c r="A51" s="32"/>
      <c r="B51" s="31"/>
      <c r="C51" s="31"/>
      <c r="D51" s="31"/>
      <c r="E51" s="28"/>
      <c r="F51" s="28"/>
      <c r="G51" s="28"/>
      <c r="H51" s="112"/>
      <c r="I51" s="114"/>
      <c r="J51" s="114"/>
      <c r="K51" s="61">
        <f t="shared" si="1"/>
        <v>0</v>
      </c>
      <c r="L51" s="61">
        <f t="shared" si="2"/>
        <v>0</v>
      </c>
      <c r="M51" s="61">
        <f t="shared" si="3"/>
        <v>0</v>
      </c>
    </row>
    <row r="52">
      <c r="A52" s="61"/>
      <c r="B52" s="23"/>
      <c r="C52" s="23"/>
      <c r="D52" s="23"/>
      <c r="E52" s="28"/>
      <c r="F52" s="28"/>
      <c r="G52" s="28"/>
      <c r="H52" s="105"/>
      <c r="I52" s="105"/>
      <c r="J52" s="105"/>
      <c r="K52" s="61">
        <f t="shared" si="1"/>
        <v>0</v>
      </c>
      <c r="L52" s="61">
        <f t="shared" si="2"/>
        <v>0</v>
      </c>
      <c r="M52" s="61">
        <f t="shared" si="3"/>
        <v>0</v>
      </c>
    </row>
    <row r="53">
      <c r="A53" s="32"/>
      <c r="B53" s="108"/>
      <c r="C53" s="108"/>
      <c r="D53" s="108"/>
      <c r="E53" s="28"/>
      <c r="F53" s="28"/>
      <c r="G53" s="28"/>
      <c r="H53" s="112"/>
      <c r="I53" s="114"/>
      <c r="J53" s="114"/>
      <c r="K53" s="61">
        <f t="shared" si="1"/>
        <v>0</v>
      </c>
      <c r="L53" s="61">
        <f t="shared" si="2"/>
        <v>0</v>
      </c>
      <c r="M53" s="61">
        <f t="shared" si="3"/>
        <v>0</v>
      </c>
    </row>
    <row r="54">
      <c r="A54" s="61"/>
      <c r="B54" s="23"/>
      <c r="C54" s="23"/>
      <c r="D54" s="23"/>
      <c r="E54" s="28"/>
      <c r="F54" s="28"/>
      <c r="G54" s="28"/>
      <c r="H54" s="105"/>
      <c r="I54" s="105"/>
      <c r="J54" s="105"/>
      <c r="K54" s="61">
        <f t="shared" si="1"/>
        <v>0</v>
      </c>
      <c r="L54" s="61">
        <f t="shared" si="2"/>
        <v>0</v>
      </c>
      <c r="M54" s="61">
        <f t="shared" si="3"/>
        <v>0</v>
      </c>
    </row>
    <row r="55">
      <c r="A55" s="32"/>
      <c r="B55" s="31"/>
      <c r="C55" s="31"/>
      <c r="D55" s="31"/>
      <c r="E55" s="28"/>
      <c r="F55" s="28"/>
      <c r="G55" s="28"/>
      <c r="H55" s="112"/>
      <c r="I55" s="114"/>
      <c r="J55" s="114"/>
      <c r="K55" s="61">
        <f t="shared" si="1"/>
        <v>0</v>
      </c>
      <c r="L55" s="61">
        <f t="shared" si="2"/>
        <v>0</v>
      </c>
      <c r="M55" s="61">
        <f t="shared" si="3"/>
        <v>0</v>
      </c>
    </row>
  </sheetData>
  <autoFilter ref="$A$4:$M$55">
    <sortState ref="A4:M55">
      <sortCondition descending="1" ref="M4:M55"/>
    </sortState>
  </autoFilter>
  <mergeCells count="2">
    <mergeCell ref="E3:G3"/>
    <mergeCell ref="H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